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IM" sheetId="1" r:id="rId4"/>
    <sheet state="visible" name="DAKIKA" sheetId="2" r:id="rId5"/>
    <sheet state="visible" name="GOL" sheetId="3" r:id="rId6"/>
    <sheet state="visible" name="ASİST" sheetId="4" r:id="rId7"/>
    <sheet state="hidden" name="KART" sheetId="5" r:id="rId8"/>
  </sheets>
  <definedNames/>
  <calcPr/>
  <extLst>
    <ext uri="GoogleSheetsCustomDataVersion2">
      <go:sheetsCustomData xmlns:go="http://customooxmlschemas.google.com/" r:id="rId9" roundtripDataChecksum="GWArsY0fqN/H/OFpOv62AGPbyPQSiNqEwvyHkGl8BBI="/>
    </ext>
  </extLst>
</workbook>
</file>

<file path=xl/sharedStrings.xml><?xml version="1.0" encoding="utf-8"?>
<sst xmlns="http://schemas.openxmlformats.org/spreadsheetml/2006/main" count="1026" uniqueCount="142">
  <si>
    <t>BEYLERBEYİ 1911 AKADEMİ</t>
  </si>
  <si>
    <t>U19</t>
  </si>
  <si>
    <t>2025-2026</t>
  </si>
  <si>
    <t>KALECİ</t>
  </si>
  <si>
    <t>SAĞBEK</t>
  </si>
  <si>
    <t>STOPER</t>
  </si>
  <si>
    <t>AD SOYAD</t>
  </si>
  <si>
    <t>ÖMÜR ÇİLESİZ</t>
  </si>
  <si>
    <t>SİNAN SARGIN</t>
  </si>
  <si>
    <t>EMİRHAN ÇELİK</t>
  </si>
  <si>
    <t>YASİN ERDEM ÖZTÜRK</t>
  </si>
  <si>
    <t>ULAÇ KANDAZ</t>
  </si>
  <si>
    <t>METEHAN COŞKUN</t>
  </si>
  <si>
    <t>DOĞUM TARİHİ</t>
  </si>
  <si>
    <t>BOY/KİLO</t>
  </si>
  <si>
    <t>GELDİĞİ TAKIM</t>
  </si>
  <si>
    <t>ÜMRANİYESPOR</t>
  </si>
  <si>
    <t>SULTANBEYLİ</t>
  </si>
  <si>
    <t>BEYLERBEYİ 1911</t>
  </si>
  <si>
    <t>ALDIĞI SÜRE (DK)</t>
  </si>
  <si>
    <t>YEDİĞİ GOL SAYISI</t>
  </si>
  <si>
    <t>GOL SAYISI</t>
  </si>
  <si>
    <t>ASİST SAYISI</t>
  </si>
  <si>
    <t>FORVET</t>
  </si>
  <si>
    <t>SOLBEK</t>
  </si>
  <si>
    <t>ORTA SAHA</t>
  </si>
  <si>
    <t>HALİT YILIDRIM</t>
  </si>
  <si>
    <t>ARDA AYVALI</t>
  </si>
  <si>
    <t>TÜRKER ÇEBİ</t>
  </si>
  <si>
    <t>KADİR GEDİK</t>
  </si>
  <si>
    <t>KANAT FORVET</t>
  </si>
  <si>
    <t>UMUT BAK</t>
  </si>
  <si>
    <t>EGE BARIŞ DEMİR</t>
  </si>
  <si>
    <t>ALPEREN VAROL</t>
  </si>
  <si>
    <t>YİĞİT YAZICI</t>
  </si>
  <si>
    <t>YENİKÖY</t>
  </si>
  <si>
    <t>SANTRAFOR</t>
  </si>
  <si>
    <t>BERK DAVULCU</t>
  </si>
  <si>
    <t>ALP DEĞİRMENCİ</t>
  </si>
  <si>
    <t>EYÜP SİLMEZ</t>
  </si>
  <si>
    <t>DAKİKA</t>
  </si>
  <si>
    <t>U-19  2025-2026 Sezonu</t>
  </si>
  <si>
    <t>HAZIRLIK MAÇI</t>
  </si>
  <si>
    <t>HAZIRLIK MAÇLARI</t>
  </si>
  <si>
    <t>1. DEVRE</t>
  </si>
  <si>
    <t>DEVRE ARASI</t>
  </si>
  <si>
    <t>TOPLAM</t>
  </si>
  <si>
    <t>2.DEVRE</t>
  </si>
  <si>
    <t>T</t>
  </si>
  <si>
    <t>D</t>
  </si>
  <si>
    <t>E</t>
  </si>
  <si>
    <t>SANCAKTEPE SPOR</t>
  </si>
  <si>
    <t>GÖLCÜKSPOR</t>
  </si>
  <si>
    <t>KESTEL ÇİLEK SPOR KULÜBÜ</t>
  </si>
  <si>
    <t>BULVARSPOR</t>
  </si>
  <si>
    <t>KARTAL SPORTİF FAALİYETLERİ A.Ş.</t>
  </si>
  <si>
    <t>SULTANBEYLİ BELEDİYE SPOR</t>
  </si>
  <si>
    <t>DUDULLU</t>
  </si>
  <si>
    <t>İNKILAP FUTBOL SPOR KULÜBÜ</t>
  </si>
  <si>
    <t>GÜZİDE GEBZE SPOR KULÜBÜ</t>
  </si>
  <si>
    <t>PAŞABAHÇE</t>
  </si>
  <si>
    <t>KARACABEY BELEDİYE SPOR A.Ş.</t>
  </si>
  <si>
    <t>KULLAR 1975 SPOR</t>
  </si>
  <si>
    <t>YALOVA FK 77 SPOR KULÜBÜ</t>
  </si>
  <si>
    <t>MALTEPESPOR</t>
  </si>
  <si>
    <t>BEYKOZ ANADOLU SPOR A.Ş.</t>
  </si>
  <si>
    <t>SON</t>
  </si>
  <si>
    <t>EYLÜL</t>
  </si>
  <si>
    <t>EKİM</t>
  </si>
  <si>
    <t>KASIM</t>
  </si>
  <si>
    <t>ARALIK</t>
  </si>
  <si>
    <t>OCAK</t>
  </si>
  <si>
    <t>ŞUBAT</t>
  </si>
  <si>
    <t>MART</t>
  </si>
  <si>
    <t>NİSAN</t>
  </si>
  <si>
    <t>SA</t>
  </si>
  <si>
    <t>S</t>
  </si>
  <si>
    <t>KY</t>
  </si>
  <si>
    <t>YASİN ALBAYRAK</t>
  </si>
  <si>
    <t>C</t>
  </si>
  <si>
    <t>UMUT EGEMEN KUTLU</t>
  </si>
  <si>
    <t>MİRAÇ EMİR YILDIZ</t>
  </si>
  <si>
    <t>ARDA ÇORUK</t>
  </si>
  <si>
    <t>BERKAY ÜST</t>
  </si>
  <si>
    <t>EMİR KAMA</t>
  </si>
  <si>
    <t>EMİR KALKAN</t>
  </si>
  <si>
    <t>POYRAZ BAŞ</t>
  </si>
  <si>
    <t>HALİT YILDIRIM</t>
  </si>
  <si>
    <t>EREN ALP KOÇAK</t>
  </si>
  <si>
    <t>ÖMER FARUK ÖZKANCA</t>
  </si>
  <si>
    <t>YİĞİT EFE TEPE</t>
  </si>
  <si>
    <t>BATUHAN ÖNCEL</t>
  </si>
  <si>
    <t>KUZEY DURAK</t>
  </si>
  <si>
    <t>MAÇ SONUCU</t>
  </si>
  <si>
    <t>SAKAT</t>
  </si>
  <si>
    <t>SONRADAN GİREN</t>
  </si>
  <si>
    <t>İLK 11</t>
  </si>
  <si>
    <t>SÜRE ALMADI - SA</t>
  </si>
  <si>
    <t>KADRODA YOK - KY</t>
  </si>
  <si>
    <t>CEZALI - C</t>
  </si>
  <si>
    <t>GOL</t>
  </si>
  <si>
    <t>2. DEVRE</t>
  </si>
  <si>
    <t>SK</t>
  </si>
  <si>
    <t>KK</t>
  </si>
  <si>
    <t>SARI KART</t>
  </si>
  <si>
    <t>KIRMIZI KART</t>
  </si>
  <si>
    <t>ASİST</t>
  </si>
  <si>
    <t>KART</t>
  </si>
  <si>
    <t>KADIN FUTBOL A TAKIM 2022 - 2023 Sezonu</t>
  </si>
  <si>
    <t>PLAY OFF</t>
  </si>
  <si>
    <t>FINAL</t>
  </si>
  <si>
    <t>ALİ EYMEN AYDIN</t>
  </si>
  <si>
    <t>SARI</t>
  </si>
  <si>
    <t>MİLLİ MAÇ</t>
  </si>
  <si>
    <t>KIRMIZI</t>
  </si>
  <si>
    <t>POYRAZ DUMAN</t>
  </si>
  <si>
    <t>ALİ SERTAN AÇAR</t>
  </si>
  <si>
    <t>KARTAL MERT EFE</t>
  </si>
  <si>
    <t>SARP ÖZKÖK</t>
  </si>
  <si>
    <t>UFUK ÇELİKTEN</t>
  </si>
  <si>
    <t>NAZLICAN PARLAK</t>
  </si>
  <si>
    <t>SEVİNÇ ÇORLU</t>
  </si>
  <si>
    <t>YAŞAM GÖKSU</t>
  </si>
  <si>
    <t>ZOTE NINA KPAHO</t>
  </si>
  <si>
    <t>ALTUN SANCAR</t>
  </si>
  <si>
    <t>BUSEM ŞEKER</t>
  </si>
  <si>
    <t>CANSU GÜREL</t>
  </si>
  <si>
    <t>ECEM CUMERT</t>
  </si>
  <si>
    <t>FATMA KARA ŞAHİNBAŞ</t>
  </si>
  <si>
    <t xml:space="preserve">KRISTEN LEIGH RICKS </t>
  </si>
  <si>
    <t>MERYEM CENNET ÇAL</t>
  </si>
  <si>
    <t xml:space="preserve">PATRICIA DEL CARMEN GEORGE </t>
  </si>
  <si>
    <t>ZEYNEP ÜLKÜ KAHYA</t>
  </si>
  <si>
    <t>KENNYA CORDNER</t>
  </si>
  <si>
    <t>SETENAY SIRIM</t>
  </si>
  <si>
    <t>ZENATHA COLEMAN</t>
  </si>
  <si>
    <t>ZEYNEP KERİMOĞLU</t>
  </si>
  <si>
    <t>DANIELLE JULIA MARCANO</t>
  </si>
  <si>
    <t>FATOU DEMBELE</t>
  </si>
  <si>
    <t>FAUSTINA ADJEI KYEREMEH</t>
  </si>
  <si>
    <t>ALICE KUSI</t>
  </si>
  <si>
    <t>GENEVIE BELECK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</si>
</sst>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56">
    <font>
      <sz val="10.0"/>
      <color rgb="FF000000"/>
      <name val="Arimo"/>
      <scheme val="minor"/>
    </font>
    <font>
      <b/>
      <sz val="28.0"/>
      <color rgb="FF0C0C0C"/>
      <name val="Calibri"/>
    </font>
    <font>
      <sz val="28.0"/>
      <color rgb="FF0C0C0C"/>
      <name val="Arimo"/>
    </font>
    <font>
      <sz val="10.0"/>
      <color theme="1"/>
      <name val="Arimo"/>
    </font>
    <font>
      <b/>
      <sz val="20.0"/>
      <color rgb="FF0C0C0C"/>
      <name val="Calibri"/>
    </font>
    <font>
      <sz val="20.0"/>
      <color theme="1"/>
      <name val="Arimo"/>
    </font>
    <font>
      <b/>
      <u/>
      <sz val="20.0"/>
      <color rgb="FFFFFF00"/>
      <name val="Calibri"/>
    </font>
    <font>
      <b/>
      <sz val="72.0"/>
      <color rgb="FF0C0C0C"/>
      <name val="Calibri"/>
    </font>
    <font>
      <b/>
      <u/>
      <sz val="18.0"/>
      <color rgb="FFFFFF00"/>
      <name val="Calibri"/>
    </font>
    <font>
      <b/>
      <u/>
      <sz val="17.0"/>
      <color rgb="FFFFFF00"/>
      <name val="Calibri"/>
    </font>
    <font>
      <b/>
      <sz val="20.0"/>
      <color rgb="FF0C0C0C"/>
      <name val="Arial"/>
    </font>
    <font>
      <sz val="20.0"/>
      <color theme="1"/>
      <name val="Arial"/>
    </font>
    <font>
      <b/>
      <sz val="14.0"/>
      <color rgb="FFFFFF00"/>
      <name val="Arial"/>
    </font>
    <font>
      <b/>
      <sz val="16.0"/>
      <color rgb="FFFFFF00"/>
      <name val="Calibri"/>
    </font>
    <font>
      <sz val="10.0"/>
      <color theme="1"/>
      <name val="Arial"/>
    </font>
    <font>
      <b/>
      <sz val="22.0"/>
      <color rgb="FF073763"/>
      <name val="Arial"/>
    </font>
    <font/>
    <font>
      <sz val="10.0"/>
      <color rgb="FF0C0C0C"/>
      <name val="Arimo"/>
    </font>
    <font>
      <b/>
      <sz val="26.0"/>
      <color rgb="FF0C0C0C"/>
      <name val="Calibri"/>
    </font>
    <font>
      <sz val="26.0"/>
      <color rgb="FF0C0C0C"/>
      <name val="Calibri"/>
    </font>
    <font>
      <sz val="10.0"/>
      <color rgb="FF000000"/>
      <name val="Arimo"/>
    </font>
    <font>
      <b/>
      <sz val="18.0"/>
      <color theme="1"/>
      <name val="Calibri"/>
    </font>
    <font>
      <b/>
      <sz val="17.0"/>
      <color theme="1"/>
      <name val="Calibri"/>
    </font>
    <font>
      <sz val="18.0"/>
      <color theme="1"/>
      <name val="Calibri"/>
    </font>
    <font>
      <sz val="18.0"/>
      <color rgb="FF000000"/>
      <name val="Calibri"/>
    </font>
    <font>
      <b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36.0"/>
      <color theme="1"/>
      <name val="Calibri"/>
    </font>
    <font>
      <sz val="11.0"/>
      <color theme="1"/>
      <name val="Calibri"/>
    </font>
    <font>
      <b/>
      <sz val="36.0"/>
      <color theme="1"/>
      <name val="Calibri"/>
    </font>
    <font>
      <b/>
      <u/>
      <sz val="22.0"/>
      <color theme="1"/>
      <name val="Calibri"/>
    </font>
    <font>
      <b/>
      <u/>
      <sz val="22.0"/>
      <color theme="1"/>
      <name val="Calibri"/>
    </font>
    <font>
      <b/>
      <sz val="18.0"/>
      <color theme="1"/>
      <name val="Arimo"/>
    </font>
    <font>
      <b/>
      <sz val="16.0"/>
      <color theme="1"/>
      <name val="Calibri"/>
    </font>
    <font>
      <b/>
      <sz val="20.0"/>
      <color theme="1"/>
      <name val="Calibri"/>
    </font>
    <font>
      <b/>
      <sz val="16.0"/>
      <color theme="0"/>
      <name val="Calibri"/>
    </font>
    <font>
      <b/>
      <sz val="17.0"/>
      <color theme="0"/>
      <name val="Calibri"/>
    </font>
    <font>
      <b/>
      <sz val="16.0"/>
      <color rgb="FF0C0C0C"/>
      <name val="Calibri"/>
    </font>
    <font>
      <b/>
      <sz val="17.0"/>
      <color rgb="FF0C0C0C"/>
      <name val="Calibri"/>
    </font>
    <font>
      <b/>
      <sz val="22.0"/>
      <color rgb="FF0C0C0C"/>
      <name val="Calibri"/>
    </font>
    <font>
      <b/>
      <sz val="14.0"/>
      <color theme="1"/>
      <name val="Calibri"/>
    </font>
    <font>
      <b/>
      <sz val="36.0"/>
      <color rgb="FFFFFFFF"/>
      <name val="Calibri"/>
    </font>
    <font>
      <b/>
      <sz val="20.0"/>
      <color theme="0"/>
      <name val="Calibri"/>
    </font>
    <font>
      <b/>
      <sz val="14.0"/>
      <color rgb="FF000000"/>
      <name val="Calibri"/>
    </font>
    <font>
      <b/>
      <sz val="22.0"/>
      <color theme="1"/>
      <name val="Calibri"/>
    </font>
    <font>
      <b/>
      <sz val="16.0"/>
      <color rgb="FF1D1B10"/>
      <name val="Calibri"/>
    </font>
    <font>
      <b/>
      <sz val="17.0"/>
      <color rgb="FF1D1B10"/>
      <name val="Calibri"/>
    </font>
    <font>
      <b/>
      <sz val="20.0"/>
      <color rgb="FFFF0000"/>
      <name val="Calibri"/>
    </font>
    <font>
      <b/>
      <sz val="17.0"/>
      <color rgb="FFFFFFFF"/>
      <name val="Calibri"/>
    </font>
    <font>
      <b/>
      <u/>
      <sz val="22.0"/>
      <color theme="1"/>
      <name val="Calibri"/>
    </font>
    <font>
      <b/>
      <sz val="32.0"/>
      <color rgb="FF0C0C0C"/>
      <name val="Calibri"/>
    </font>
    <font>
      <b/>
      <sz val="14.0"/>
      <color rgb="FF0C0C0C"/>
      <name val="Calibri"/>
    </font>
    <font>
      <b/>
      <sz val="20.0"/>
      <color rgb="FFFFFFFF"/>
      <name val="Calibri"/>
    </font>
    <font>
      <b/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DBE5F1"/>
        <bgColor rgb="FFDBE5F1"/>
      </patternFill>
    </fill>
    <fill>
      <patternFill patternType="solid">
        <fgColor rgb="FF0C0C0C"/>
        <bgColor rgb="FF0C0C0C"/>
      </patternFill>
    </fill>
    <fill>
      <patternFill patternType="solid">
        <fgColor rgb="FF8DB3E2"/>
        <bgColor rgb="FF8DB3E2"/>
      </patternFill>
    </fill>
    <fill>
      <patternFill patternType="solid">
        <fgColor rgb="FF00B0F0"/>
        <bgColor rgb="FF00B0F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93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73763"/>
      </right>
      <top/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right style="medium">
        <color rgb="FF073763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/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left/>
      <right style="thin">
        <color rgb="FF000000"/>
      </right>
      <top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bottom style="thin">
        <color rgb="FF000000"/>
      </bottom>
    </border>
    <border>
      <left/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horizontal="center"/>
    </xf>
    <xf borderId="1" fillId="3" fontId="11" numFmtId="0" xfId="0" applyBorder="1" applyFill="1" applyFont="1"/>
    <xf borderId="0" fillId="0" fontId="12" numFmtId="0" xfId="0" applyAlignment="1" applyFont="1">
      <alignment shrinkToFit="0" wrapText="1"/>
    </xf>
    <xf borderId="0" fillId="0" fontId="13" numFmtId="0" xfId="0" applyAlignment="1" applyFont="1">
      <alignment shrinkToFit="0" wrapText="1"/>
    </xf>
    <xf borderId="1" fillId="3" fontId="14" numFmtId="0" xfId="0" applyBorder="1" applyFont="1"/>
    <xf borderId="2" fillId="2" fontId="15" numFmtId="0" xfId="0" applyAlignment="1" applyBorder="1" applyFont="1">
      <alignment horizontal="center" vertical="center"/>
    </xf>
    <xf borderId="3" fillId="0" fontId="16" numFmtId="0" xfId="0" applyBorder="1" applyFont="1"/>
    <xf borderId="4" fillId="4" fontId="14" numFmtId="0" xfId="0" applyBorder="1" applyFill="1" applyFont="1"/>
    <xf borderId="5" fillId="0" fontId="16" numFmtId="0" xfId="0" applyBorder="1" applyFont="1"/>
    <xf borderId="6" fillId="3" fontId="14" numFmtId="0" xfId="0" applyBorder="1" applyFont="1"/>
    <xf borderId="7" fillId="4" fontId="14" numFmtId="0" xfId="0" applyBorder="1" applyFont="1"/>
    <xf borderId="8" fillId="0" fontId="16" numFmtId="0" xfId="0" applyBorder="1" applyFont="1"/>
    <xf borderId="9" fillId="0" fontId="16" numFmtId="0" xfId="0" applyBorder="1" applyFont="1"/>
    <xf borderId="10" fillId="0" fontId="16" numFmtId="0" xfId="0" applyBorder="1" applyFont="1"/>
    <xf borderId="11" fillId="0" fontId="16" numFmtId="0" xfId="0" applyBorder="1" applyFont="1"/>
    <xf borderId="12" fillId="0" fontId="16" numFmtId="0" xfId="0" applyBorder="1" applyFont="1"/>
    <xf borderId="13" fillId="0" fontId="16" numFmtId="0" xfId="0" applyBorder="1" applyFont="1"/>
    <xf borderId="14" fillId="0" fontId="16" numFmtId="0" xfId="0" applyBorder="1" applyFont="1"/>
    <xf borderId="0" fillId="0" fontId="17" numFmtId="0" xfId="0" applyFont="1"/>
    <xf borderId="2" fillId="5" fontId="18" numFmtId="0" xfId="0" applyAlignment="1" applyBorder="1" applyFill="1" applyFont="1">
      <alignment horizontal="center" vertical="center"/>
    </xf>
    <xf borderId="15" fillId="0" fontId="19" numFmtId="0" xfId="0" applyBorder="1" applyFont="1"/>
    <xf borderId="0" fillId="0" fontId="19" numFmtId="0" xfId="0" applyFont="1"/>
    <xf borderId="0" fillId="0" fontId="20" numFmtId="0" xfId="0" applyAlignment="1" applyFont="1">
      <alignment vertical="center"/>
    </xf>
    <xf borderId="16" fillId="4" fontId="21" numFmtId="0" xfId="0" applyAlignment="1" applyBorder="1" applyFont="1">
      <alignment vertical="center"/>
    </xf>
    <xf borderId="17" fillId="4" fontId="22" numFmtId="0" xfId="0" applyAlignment="1" applyBorder="1" applyFont="1">
      <alignment horizontal="left" readingOrder="0" vertical="center"/>
    </xf>
    <xf borderId="6" fillId="3" fontId="23" numFmtId="0" xfId="0" applyAlignment="1" applyBorder="1" applyFont="1">
      <alignment vertical="center"/>
    </xf>
    <xf borderId="17" fillId="4" fontId="21" numFmtId="164" xfId="0" applyAlignment="1" applyBorder="1" applyFont="1" applyNumberFormat="1">
      <alignment horizontal="left" vertical="center"/>
    </xf>
    <xf borderId="17" fillId="4" fontId="21" numFmtId="0" xfId="0" applyAlignment="1" applyBorder="1" applyFont="1">
      <alignment horizontal="left" readingOrder="0" vertical="center"/>
    </xf>
    <xf borderId="0" fillId="0" fontId="24" numFmtId="0" xfId="0" applyAlignment="1" applyFont="1">
      <alignment vertical="center"/>
    </xf>
    <xf borderId="18" fillId="4" fontId="21" numFmtId="0" xfId="0" applyAlignment="1" applyBorder="1" applyFont="1">
      <alignment horizontal="left" readingOrder="0" vertical="center"/>
    </xf>
    <xf borderId="18" fillId="4" fontId="21" numFmtId="0" xfId="0" applyAlignment="1" applyBorder="1" applyFont="1">
      <alignment horizontal="left" vertical="center"/>
    </xf>
    <xf borderId="19" fillId="4" fontId="21" numFmtId="0" xfId="0" applyAlignment="1" applyBorder="1" applyFont="1">
      <alignment vertical="center"/>
    </xf>
    <xf borderId="18" fillId="4" fontId="25" numFmtId="0" xfId="0" applyAlignment="1" applyBorder="1" applyFont="1">
      <alignment horizontal="left" readingOrder="0" vertical="center"/>
    </xf>
    <xf borderId="18" fillId="4" fontId="25" numFmtId="0" xfId="0" applyAlignment="1" applyBorder="1" applyFont="1">
      <alignment horizontal="left" vertical="center"/>
    </xf>
    <xf borderId="18" fillId="4" fontId="26" numFmtId="0" xfId="0" applyAlignment="1" applyBorder="1" applyFont="1">
      <alignment horizontal="left" readingOrder="0" vertical="center"/>
    </xf>
    <xf borderId="18" fillId="4" fontId="27" numFmtId="0" xfId="0" applyAlignment="1" applyBorder="1" applyFont="1">
      <alignment horizontal="left" vertical="center"/>
    </xf>
    <xf borderId="18" fillId="4" fontId="28" numFmtId="0" xfId="0" applyAlignment="1" applyBorder="1" applyFont="1">
      <alignment horizontal="left" shrinkToFit="0" vertical="center" wrapText="1"/>
    </xf>
    <xf borderId="20" fillId="4" fontId="21" numFmtId="0" xfId="0" applyAlignment="1" applyBorder="1" applyFont="1">
      <alignment vertical="center"/>
    </xf>
    <xf borderId="21" fillId="4" fontId="21" numFmtId="0" xfId="0" applyAlignment="1" applyBorder="1" applyFont="1">
      <alignment horizontal="left" vertical="center"/>
    </xf>
    <xf borderId="1" fillId="6" fontId="3" numFmtId="0" xfId="0" applyBorder="1" applyFill="1" applyFont="1"/>
    <xf borderId="1" fillId="6" fontId="15" numFmtId="0" xfId="0" applyAlignment="1" applyBorder="1" applyFont="1">
      <alignment horizontal="center" vertical="center"/>
    </xf>
    <xf borderId="1" fillId="6" fontId="14" numFmtId="0" xfId="0" applyBorder="1" applyFont="1"/>
    <xf borderId="22" fillId="4" fontId="14" numFmtId="0" xfId="0" applyBorder="1" applyFont="1"/>
    <xf borderId="10" fillId="0" fontId="3" numFmtId="0" xfId="0" applyBorder="1" applyFont="1"/>
    <xf borderId="9" fillId="0" fontId="3" numFmtId="0" xfId="0" applyBorder="1" applyFont="1"/>
    <xf borderId="2" fillId="5" fontId="18" numFmtId="0" xfId="0" applyAlignment="1" applyBorder="1" applyFont="1">
      <alignment horizontal="center" readingOrder="0" vertical="center"/>
    </xf>
    <xf borderId="23" fillId="2" fontId="15" numFmtId="0" xfId="0" applyAlignment="1" applyBorder="1" applyFont="1">
      <alignment horizontal="center" vertical="center"/>
    </xf>
    <xf borderId="24" fillId="2" fontId="3" numFmtId="0" xfId="0" applyBorder="1" applyFont="1"/>
    <xf borderId="0" fillId="0" fontId="29" numFmtId="0" xfId="0" applyAlignment="1" applyFont="1">
      <alignment horizontal="center"/>
    </xf>
    <xf borderId="0" fillId="0" fontId="30" numFmtId="0" xfId="0" applyFont="1"/>
    <xf borderId="2" fillId="0" fontId="31" numFmtId="0" xfId="0" applyAlignment="1" applyBorder="1" applyFont="1">
      <alignment horizontal="center" vertical="center"/>
    </xf>
    <xf borderId="25" fillId="0" fontId="16" numFmtId="0" xfId="0" applyBorder="1" applyFont="1"/>
    <xf borderId="0" fillId="0" fontId="32" numFmtId="0" xfId="0" applyAlignment="1" applyFont="1">
      <alignment horizontal="center"/>
    </xf>
    <xf borderId="11" fillId="0" fontId="33" numFmtId="0" xfId="0" applyAlignment="1" applyBorder="1" applyFont="1">
      <alignment horizontal="center"/>
    </xf>
    <xf borderId="26" fillId="0" fontId="16" numFmtId="0" xfId="0" applyBorder="1" applyFont="1"/>
    <xf borderId="27" fillId="0" fontId="34" numFmtId="0" xfId="0" applyAlignment="1" applyBorder="1" applyFont="1">
      <alignment horizontal="center" vertical="center"/>
    </xf>
    <xf borderId="28" fillId="0" fontId="16" numFmtId="0" xfId="0" applyBorder="1" applyFont="1"/>
    <xf borderId="29" fillId="7" fontId="35" numFmtId="0" xfId="0" applyAlignment="1" applyBorder="1" applyFill="1" applyFont="1">
      <alignment horizontal="center"/>
    </xf>
    <xf borderId="30" fillId="0" fontId="16" numFmtId="0" xfId="0" applyBorder="1" applyFont="1"/>
    <xf borderId="31" fillId="0" fontId="16" numFmtId="0" xfId="0" applyBorder="1" applyFont="1"/>
    <xf borderId="32" fillId="8" fontId="36" numFmtId="0" xfId="0" applyAlignment="1" applyBorder="1" applyFill="1" applyFont="1">
      <alignment horizontal="center" textRotation="90" vertical="center"/>
    </xf>
    <xf borderId="29" fillId="2" fontId="37" numFmtId="0" xfId="0" applyAlignment="1" applyBorder="1" applyFont="1">
      <alignment horizontal="center"/>
    </xf>
    <xf borderId="33" fillId="0" fontId="16" numFmtId="0" xfId="0" applyBorder="1" applyFont="1"/>
    <xf borderId="34" fillId="8" fontId="36" numFmtId="0" xfId="0" applyAlignment="1" applyBorder="1" applyFont="1">
      <alignment horizontal="center" textRotation="90" vertical="center"/>
    </xf>
    <xf borderId="2" fillId="9" fontId="38" numFmtId="0" xfId="0" applyAlignment="1" applyBorder="1" applyFill="1" applyFont="1">
      <alignment horizontal="center"/>
    </xf>
    <xf borderId="35" fillId="0" fontId="16" numFmtId="0" xfId="0" applyBorder="1" applyFont="1"/>
    <xf borderId="36" fillId="0" fontId="39" numFmtId="0" xfId="0" applyAlignment="1" applyBorder="1" applyFont="1">
      <alignment horizontal="center"/>
    </xf>
    <xf borderId="12" fillId="0" fontId="39" numFmtId="0" xfId="0" applyAlignment="1" applyBorder="1" applyFont="1">
      <alignment horizontal="center"/>
    </xf>
    <xf borderId="37" fillId="8" fontId="39" numFmtId="0" xfId="0" applyAlignment="1" applyBorder="1" applyFont="1">
      <alignment horizontal="center"/>
    </xf>
    <xf borderId="38" fillId="0" fontId="16" numFmtId="0" xfId="0" applyBorder="1" applyFont="1"/>
    <xf borderId="39" fillId="10" fontId="39" numFmtId="0" xfId="0" applyAlignment="1" applyBorder="1" applyFill="1" applyFont="1">
      <alignment horizontal="center"/>
    </xf>
    <xf borderId="40" fillId="0" fontId="16" numFmtId="0" xfId="0" applyBorder="1" applyFont="1"/>
    <xf borderId="39" fillId="10" fontId="40" numFmtId="0" xfId="0" applyAlignment="1" applyBorder="1" applyFont="1">
      <alignment horizontal="center"/>
    </xf>
    <xf borderId="12" fillId="0" fontId="40" numFmtId="0" xfId="0" applyAlignment="1" applyBorder="1" applyFont="1">
      <alignment horizontal="center"/>
    </xf>
    <xf borderId="41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42" fillId="8" fontId="30" numFmtId="0" xfId="0" applyBorder="1" applyFont="1"/>
    <xf borderId="39" fillId="2" fontId="4" numFmtId="0" xfId="0" applyAlignment="1" applyBorder="1" applyFont="1">
      <alignment horizontal="center"/>
    </xf>
    <xf borderId="39" fillId="5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43" fillId="0" fontId="41" numFmtId="0" xfId="0" applyAlignment="1" applyBorder="1" applyFont="1">
      <alignment horizontal="center" shrinkToFit="0" textRotation="90" vertical="center" wrapText="1"/>
    </xf>
    <xf borderId="44" fillId="0" fontId="41" numFmtId="0" xfId="0" applyAlignment="1" applyBorder="1" applyFont="1">
      <alignment horizontal="center" shrinkToFit="0" textRotation="90" vertical="center" wrapText="1"/>
    </xf>
    <xf borderId="45" fillId="0" fontId="41" numFmtId="0" xfId="0" applyAlignment="1" applyBorder="1" applyFont="1">
      <alignment horizontal="center" shrinkToFit="0" textRotation="90" vertical="center" wrapText="1"/>
    </xf>
    <xf borderId="46" fillId="8" fontId="41" numFmtId="0" xfId="0" applyAlignment="1" applyBorder="1" applyFont="1">
      <alignment horizontal="center" shrinkToFit="0" textRotation="90" vertical="center" wrapText="1"/>
    </xf>
    <xf borderId="47" fillId="0" fontId="16" numFmtId="0" xfId="0" applyBorder="1" applyFont="1"/>
    <xf borderId="48" fillId="2" fontId="41" numFmtId="0" xfId="0" applyAlignment="1" applyBorder="1" applyFont="1">
      <alignment horizontal="center" shrinkToFit="0" textRotation="90" vertical="center" wrapText="1"/>
    </xf>
    <xf borderId="48" fillId="5" fontId="41" numFmtId="0" xfId="0" applyAlignment="1" applyBorder="1" applyFont="1">
      <alignment horizontal="center" shrinkToFit="0" textRotation="90" vertical="center" wrapText="1"/>
    </xf>
    <xf borderId="49" fillId="0" fontId="16" numFmtId="0" xfId="0" applyBorder="1" applyFont="1"/>
    <xf borderId="50" fillId="11" fontId="31" numFmtId="0" xfId="0" applyAlignment="1" applyBorder="1" applyFill="1" applyFont="1">
      <alignment horizontal="center" textRotation="90" vertical="center"/>
    </xf>
    <xf borderId="51" fillId="0" fontId="4" numFmtId="0" xfId="0" applyAlignment="1" applyBorder="1" applyFont="1">
      <alignment horizontal="center"/>
    </xf>
    <xf borderId="43" fillId="0" fontId="4" numFmtId="0" xfId="0" applyAlignment="1" applyBorder="1" applyFont="1">
      <alignment horizontal="center"/>
    </xf>
    <xf borderId="48" fillId="1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/>
    </xf>
    <xf borderId="48" fillId="10" fontId="4" numFmtId="0" xfId="0" applyAlignment="1" applyBorder="1" applyFont="1">
      <alignment horizontal="center" readingOrder="0"/>
    </xf>
    <xf borderId="52" fillId="0" fontId="16" numFmtId="0" xfId="0" applyBorder="1" applyFont="1"/>
    <xf borderId="53" fillId="0" fontId="16" numFmtId="0" xfId="0" applyBorder="1" applyFont="1"/>
    <xf borderId="29" fillId="12" fontId="36" numFmtId="0" xfId="0" applyAlignment="1" applyBorder="1" applyFill="1" applyFont="1">
      <alignment horizontal="center"/>
    </xf>
    <xf borderId="54" fillId="12" fontId="36" numFmtId="0" xfId="0" applyAlignment="1" applyBorder="1" applyFont="1">
      <alignment horizontal="center" vertical="center"/>
    </xf>
    <xf borderId="55" fillId="0" fontId="16" numFmtId="0" xfId="0" applyBorder="1" applyFont="1"/>
    <xf borderId="56" fillId="0" fontId="16" numFmtId="0" xfId="0" applyBorder="1" applyFont="1"/>
    <xf borderId="54" fillId="12" fontId="36" numFmtId="0" xfId="0" applyAlignment="1" applyBorder="1" applyFont="1">
      <alignment horizontal="center"/>
    </xf>
    <xf borderId="57" fillId="0" fontId="3" numFmtId="0" xfId="0" applyBorder="1" applyFont="1"/>
    <xf borderId="58" fillId="12" fontId="36" numFmtId="0" xfId="0" applyAlignment="1" applyBorder="1" applyFont="1">
      <alignment horizontal="center"/>
    </xf>
    <xf borderId="26" fillId="0" fontId="30" numFmtId="0" xfId="0" applyBorder="1" applyFont="1"/>
    <xf borderId="0" fillId="0" fontId="42" numFmtId="0" xfId="0" applyAlignment="1" applyFont="1">
      <alignment horizontal="center"/>
    </xf>
    <xf borderId="59" fillId="0" fontId="42" numFmtId="0" xfId="0" applyAlignment="1" applyBorder="1" applyFont="1">
      <alignment horizontal="center"/>
    </xf>
    <xf borderId="53" fillId="3" fontId="21" numFmtId="0" xfId="0" applyAlignment="1" applyBorder="1" applyFont="1">
      <alignment readingOrder="0"/>
    </xf>
    <xf borderId="60" fillId="0" fontId="16" numFmtId="0" xfId="0" applyBorder="1" applyFont="1"/>
    <xf borderId="61" fillId="0" fontId="4" numFmtId="0" xfId="0" applyAlignment="1" applyBorder="1" applyFont="1">
      <alignment horizontal="center"/>
    </xf>
    <xf borderId="42" fillId="8" fontId="36" numFmtId="0" xfId="0" applyAlignment="1" applyBorder="1" applyFont="1">
      <alignment horizontal="center"/>
    </xf>
    <xf borderId="46" fillId="11" fontId="43" numFmtId="0" xfId="0" applyAlignment="1" applyBorder="1" applyFont="1">
      <alignment textRotation="90" vertical="center"/>
    </xf>
    <xf borderId="42" fillId="3" fontId="4" numFmtId="0" xfId="0" applyAlignment="1" applyBorder="1" applyFont="1">
      <alignment horizontal="center"/>
    </xf>
    <xf borderId="42" fillId="10" fontId="4" numFmtId="0" xfId="0" applyAlignment="1" applyBorder="1" applyFont="1">
      <alignment horizontal="center"/>
    </xf>
    <xf borderId="39" fillId="13" fontId="4" numFmtId="0" xfId="0" applyAlignment="1" applyBorder="1" applyFill="1" applyFont="1">
      <alignment horizontal="center"/>
    </xf>
    <xf borderId="42" fillId="2" fontId="4" numFmtId="0" xfId="0" applyAlignment="1" applyBorder="1" applyFont="1">
      <alignment horizontal="center"/>
    </xf>
    <xf borderId="50" fillId="11" fontId="43" numFmtId="0" xfId="0" applyAlignment="1" applyBorder="1" applyFont="1">
      <alignment textRotation="90" vertical="center"/>
    </xf>
    <xf borderId="62" fillId="0" fontId="42" numFmtId="0" xfId="0" applyAlignment="1" applyBorder="1" applyFont="1">
      <alignment horizontal="center"/>
    </xf>
    <xf borderId="53" fillId="0" fontId="21" numFmtId="0" xfId="0" applyBorder="1" applyFont="1"/>
    <xf borderId="42" fillId="14" fontId="4" numFmtId="0" xfId="0" applyAlignment="1" applyBorder="1" applyFill="1" applyFont="1">
      <alignment horizontal="center"/>
    </xf>
    <xf borderId="42" fillId="15" fontId="4" numFmtId="0" xfId="0" applyAlignment="1" applyBorder="1" applyFill="1" applyFont="1">
      <alignment horizontal="center" readingOrder="0"/>
    </xf>
    <xf borderId="53" fillId="16" fontId="21" numFmtId="0" xfId="0" applyBorder="1" applyFill="1" applyFont="1"/>
    <xf borderId="63" fillId="8" fontId="36" numFmtId="0" xfId="0" applyAlignment="1" applyBorder="1" applyFont="1">
      <alignment horizontal="center"/>
    </xf>
    <xf borderId="42" fillId="5" fontId="4" numFmtId="0" xfId="0" applyAlignment="1" applyBorder="1" applyFont="1">
      <alignment horizontal="center"/>
    </xf>
    <xf borderId="42" fillId="14" fontId="36" numFmtId="0" xfId="0" applyAlignment="1" applyBorder="1" applyFont="1">
      <alignment horizontal="center" vertical="center"/>
    </xf>
    <xf borderId="42" fillId="2" fontId="36" numFmtId="0" xfId="0" applyAlignment="1" applyBorder="1" applyFont="1">
      <alignment horizontal="center" vertical="center"/>
    </xf>
    <xf borderId="42" fillId="14" fontId="36" numFmtId="0" xfId="0" applyAlignment="1" applyBorder="1" applyFont="1">
      <alignment horizontal="center" readingOrder="0" vertical="center"/>
    </xf>
    <xf borderId="53" fillId="15" fontId="21" numFmtId="0" xfId="0" applyBorder="1" applyFont="1"/>
    <xf borderId="53" fillId="0" fontId="21" numFmtId="0" xfId="0" applyAlignment="1" applyBorder="1" applyFont="1">
      <alignment readingOrder="0"/>
    </xf>
    <xf borderId="42" fillId="10" fontId="36" numFmtId="0" xfId="0" applyAlignment="1" applyBorder="1" applyFont="1">
      <alignment horizontal="center" vertical="center"/>
    </xf>
    <xf borderId="42" fillId="17" fontId="44" numFmtId="0" xfId="0" applyAlignment="1" applyBorder="1" applyFill="1" applyFont="1">
      <alignment horizontal="center"/>
    </xf>
    <xf borderId="42" fillId="2" fontId="36" numFmtId="0" xfId="0" applyAlignment="1" applyBorder="1" applyFont="1">
      <alignment horizontal="center" readingOrder="0" vertical="center"/>
    </xf>
    <xf borderId="42" fillId="2" fontId="4" numFmtId="0" xfId="0" applyAlignment="1" applyBorder="1" applyFont="1">
      <alignment horizontal="center" readingOrder="0"/>
    </xf>
    <xf borderId="53" fillId="11" fontId="21" numFmtId="0" xfId="0" applyBorder="1" applyFont="1"/>
    <xf borderId="42" fillId="2" fontId="36" numFmtId="0" xfId="0" applyAlignment="1" applyBorder="1" applyFont="1">
      <alignment horizontal="center"/>
    </xf>
    <xf borderId="42" fillId="14" fontId="4" numFmtId="0" xfId="0" applyAlignment="1" applyBorder="1" applyFont="1">
      <alignment horizontal="center" readingOrder="0"/>
    </xf>
    <xf borderId="42" fillId="2" fontId="36" numFmtId="0" xfId="0" applyAlignment="1" applyBorder="1" applyFont="1">
      <alignment horizontal="center" readingOrder="0"/>
    </xf>
    <xf borderId="53" fillId="16" fontId="21" numFmtId="0" xfId="0" applyAlignment="1" applyBorder="1" applyFont="1">
      <alignment readingOrder="0"/>
    </xf>
    <xf borderId="64" fillId="6" fontId="45" numFmtId="0" xfId="0" applyAlignment="1" applyBorder="1" applyFont="1">
      <alignment horizontal="center"/>
    </xf>
    <xf borderId="42" fillId="14" fontId="36" numFmtId="0" xfId="0" applyAlignment="1" applyBorder="1" applyFont="1">
      <alignment horizontal="center"/>
    </xf>
    <xf borderId="64" fillId="6" fontId="42" numFmtId="0" xfId="0" applyAlignment="1" applyBorder="1" applyFont="1">
      <alignment horizontal="center"/>
    </xf>
    <xf borderId="61" fillId="0" fontId="30" numFmtId="0" xfId="0" applyBorder="1" applyFont="1"/>
    <xf borderId="0" fillId="16" fontId="21" numFmtId="0" xfId="0" applyAlignment="1" applyFont="1">
      <alignment readingOrder="0"/>
    </xf>
    <xf borderId="61" fillId="3" fontId="4" numFmtId="0" xfId="0" applyAlignment="1" applyBorder="1" applyFont="1">
      <alignment horizontal="center"/>
    </xf>
    <xf borderId="42" fillId="3" fontId="36" numFmtId="0" xfId="0" applyAlignment="1" applyBorder="1" applyFont="1">
      <alignment horizontal="center" vertical="center"/>
    </xf>
    <xf borderId="42" fillId="3" fontId="36" numFmtId="0" xfId="0" applyAlignment="1" applyBorder="1" applyFont="1">
      <alignment horizontal="center" readingOrder="0" vertical="center"/>
    </xf>
    <xf borderId="65" fillId="0" fontId="42" numFmtId="0" xfId="0" applyAlignment="1" applyBorder="1" applyFont="1">
      <alignment horizontal="center"/>
    </xf>
    <xf borderId="54" fillId="18" fontId="21" numFmtId="0" xfId="0" applyAlignment="1" applyBorder="1" applyFill="1" applyFont="1">
      <alignment readingOrder="0"/>
    </xf>
    <xf borderId="43" fillId="0" fontId="30" numFmtId="0" xfId="0" applyBorder="1" applyFont="1"/>
    <xf borderId="40" fillId="0" fontId="42" numFmtId="0" xfId="0" applyAlignment="1" applyBorder="1" applyFont="1">
      <alignment horizontal="center"/>
    </xf>
    <xf borderId="66" fillId="8" fontId="36" numFmtId="0" xfId="0" applyAlignment="1" applyBorder="1" applyFont="1">
      <alignment horizontal="center"/>
    </xf>
    <xf borderId="42" fillId="3" fontId="4" numFmtId="0" xfId="0" applyAlignment="1" applyBorder="1" applyFont="1">
      <alignment horizontal="center" readingOrder="0"/>
    </xf>
    <xf borderId="67" fillId="0" fontId="30" numFmtId="0" xfId="0" applyBorder="1" applyFont="1"/>
    <xf borderId="63" fillId="13" fontId="4" numFmtId="0" xfId="0" applyAlignment="1" applyBorder="1" applyFont="1">
      <alignment horizontal="center"/>
    </xf>
    <xf borderId="67" fillId="0" fontId="3" numFmtId="0" xfId="0" applyBorder="1" applyFont="1"/>
    <xf borderId="45" fillId="0" fontId="30" numFmtId="0" xfId="0" applyBorder="1" applyFont="1"/>
    <xf borderId="0" fillId="0" fontId="46" numFmtId="0" xfId="0" applyAlignment="1" applyFont="1">
      <alignment horizontal="center"/>
    </xf>
    <xf borderId="4" fillId="0" fontId="46" numFmtId="0" xfId="0" applyAlignment="1" applyBorder="1" applyFont="1">
      <alignment horizontal="center" vertical="center"/>
    </xf>
    <xf borderId="68" fillId="0" fontId="16" numFmtId="0" xfId="0" applyBorder="1" applyFont="1"/>
    <xf borderId="69" fillId="19" fontId="36" numFmtId="0" xfId="0" applyAlignment="1" applyBorder="1" applyFill="1" applyFont="1">
      <alignment horizontal="center"/>
    </xf>
    <xf borderId="70" fillId="19" fontId="36" numFmtId="0" xfId="0" applyAlignment="1" applyBorder="1" applyFont="1">
      <alignment horizontal="center"/>
    </xf>
    <xf borderId="69" fillId="5" fontId="36" numFmtId="0" xfId="0" applyAlignment="1" applyBorder="1" applyFont="1">
      <alignment horizontal="center"/>
    </xf>
    <xf borderId="70" fillId="5" fontId="36" numFmtId="0" xfId="0" applyAlignment="1" applyBorder="1" applyFont="1">
      <alignment horizontal="center"/>
    </xf>
    <xf borderId="70" fillId="14" fontId="36" numFmtId="0" xfId="0" applyAlignment="1" applyBorder="1" applyFont="1">
      <alignment horizontal="center"/>
    </xf>
    <xf borderId="70" fillId="2" fontId="36" numFmtId="0" xfId="0" applyAlignment="1" applyBorder="1" applyFont="1">
      <alignment horizontal="center"/>
    </xf>
    <xf borderId="71" fillId="19" fontId="36" numFmtId="0" xfId="0" applyAlignment="1" applyBorder="1" applyFont="1">
      <alignment horizontal="center"/>
    </xf>
    <xf borderId="63" fillId="8" fontId="36" numFmtId="0" xfId="0" applyAlignment="1" applyBorder="1" applyFont="1">
      <alignment horizontal="center" readingOrder="0"/>
    </xf>
    <xf borderId="70" fillId="2" fontId="36" numFmtId="0" xfId="0" applyAlignment="1" applyBorder="1" applyFont="1">
      <alignment horizontal="center" readingOrder="0"/>
    </xf>
    <xf borderId="70" fillId="5" fontId="36" numFmtId="0" xfId="0" applyAlignment="1" applyBorder="1" applyFont="1">
      <alignment horizontal="center" readingOrder="0"/>
    </xf>
    <xf borderId="70" fillId="14" fontId="36" numFmtId="0" xfId="0" applyAlignment="1" applyBorder="1" applyFont="1">
      <alignment horizontal="center" readingOrder="0"/>
    </xf>
    <xf borderId="72" fillId="19" fontId="36" numFmtId="0" xfId="0" applyAlignment="1" applyBorder="1" applyFont="1">
      <alignment horizontal="center"/>
    </xf>
    <xf borderId="46" fillId="19" fontId="36" numFmtId="0" xfId="0" applyAlignment="1" applyBorder="1" applyFont="1">
      <alignment horizontal="center"/>
    </xf>
    <xf borderId="37" fillId="11" fontId="43" numFmtId="0" xfId="0" applyAlignment="1" applyBorder="1" applyFont="1">
      <alignment textRotation="90" vertical="center"/>
    </xf>
    <xf borderId="72" fillId="5" fontId="36" numFmtId="0" xfId="0" applyAlignment="1" applyBorder="1" applyFont="1">
      <alignment horizontal="center"/>
    </xf>
    <xf borderId="46" fillId="5" fontId="36" numFmtId="0" xfId="0" applyAlignment="1" applyBorder="1" applyFont="1">
      <alignment horizontal="center"/>
    </xf>
    <xf borderId="46" fillId="14" fontId="36" numFmtId="0" xfId="0" applyAlignment="1" applyBorder="1" applyFont="1">
      <alignment horizontal="center"/>
    </xf>
    <xf borderId="46" fillId="2" fontId="36" numFmtId="0" xfId="0" applyAlignment="1" applyBorder="1" applyFont="1">
      <alignment horizontal="center"/>
    </xf>
    <xf borderId="66" fillId="19" fontId="36" numFmtId="0" xfId="0" applyAlignment="1" applyBorder="1" applyFont="1">
      <alignment horizontal="center"/>
    </xf>
    <xf borderId="46" fillId="5" fontId="36" numFmtId="0" xfId="0" applyAlignment="1" applyBorder="1" applyFont="1">
      <alignment horizontal="center" readingOrder="0"/>
    </xf>
    <xf borderId="46" fillId="2" fontId="36" numFmtId="0" xfId="0" applyAlignment="1" applyBorder="1" applyFont="1">
      <alignment horizontal="center" readingOrder="0"/>
    </xf>
    <xf borderId="46" fillId="14" fontId="36" numFmtId="0" xfId="0" applyAlignment="1" applyBorder="1" applyFont="1">
      <alignment horizontal="center" readingOrder="0"/>
    </xf>
    <xf borderId="0" fillId="0" fontId="47" numFmtId="0" xfId="0" applyAlignment="1" applyFont="1">
      <alignment horizontal="center"/>
    </xf>
    <xf borderId="2" fillId="3" fontId="48" numFmtId="0" xfId="0" applyAlignment="1" applyBorder="1" applyFont="1">
      <alignment horizontal="center" vertical="center"/>
    </xf>
    <xf borderId="2" fillId="15" fontId="48" numFmtId="0" xfId="0" applyAlignment="1" applyBorder="1" applyFont="1">
      <alignment horizontal="center" readingOrder="0" vertical="center"/>
    </xf>
    <xf borderId="2" fillId="14" fontId="48" numFmtId="0" xfId="0" applyAlignment="1" applyBorder="1" applyFont="1">
      <alignment horizontal="center" vertical="center"/>
    </xf>
    <xf borderId="2" fillId="2" fontId="48" numFmtId="0" xfId="0" applyAlignment="1" applyBorder="1" applyFont="1">
      <alignment horizontal="center" vertical="center"/>
    </xf>
    <xf borderId="2" fillId="10" fontId="48" numFmtId="0" xfId="0" applyAlignment="1" applyBorder="1" applyFont="1">
      <alignment horizontal="center" vertical="center"/>
    </xf>
    <xf borderId="2" fillId="5" fontId="48" numFmtId="0" xfId="0" applyAlignment="1" applyBorder="1" applyFont="1">
      <alignment horizontal="center" vertical="center"/>
    </xf>
    <xf borderId="2" fillId="20" fontId="38" numFmtId="0" xfId="0" applyAlignment="1" applyBorder="1" applyFill="1" applyFont="1">
      <alignment horizontal="center" vertical="center"/>
    </xf>
    <xf borderId="73" fillId="0" fontId="16" numFmtId="0" xfId="0" applyBorder="1" applyFont="1"/>
    <xf borderId="29" fillId="2" fontId="35" numFmtId="0" xfId="0" applyAlignment="1" applyBorder="1" applyFont="1">
      <alignment horizontal="center"/>
    </xf>
    <xf borderId="2" fillId="5" fontId="35" numFmtId="0" xfId="0" applyAlignment="1" applyBorder="1" applyFont="1">
      <alignment horizontal="center" vertical="center"/>
    </xf>
    <xf borderId="74" fillId="0" fontId="4" numFmtId="0" xfId="0" applyAlignment="1" applyBorder="1" applyFont="1">
      <alignment horizontal="center"/>
    </xf>
    <xf borderId="48" fillId="2" fontId="4" numFmtId="0" xfId="0" applyAlignment="1" applyBorder="1" applyFont="1">
      <alignment horizontal="center" shrinkToFit="0" textRotation="90" vertical="center" wrapText="1"/>
    </xf>
    <xf borderId="75" fillId="8" fontId="36" numFmtId="0" xfId="0" applyAlignment="1" applyBorder="1" applyFont="1">
      <alignment horizontal="center"/>
    </xf>
    <xf borderId="76" fillId="0" fontId="16" numFmtId="0" xfId="0" applyBorder="1" applyFont="1"/>
    <xf borderId="77" fillId="0" fontId="16" numFmtId="0" xfId="0" applyBorder="1" applyFont="1"/>
    <xf borderId="78" fillId="8" fontId="30" numFmtId="0" xfId="0" applyBorder="1" applyFont="1"/>
    <xf borderId="78" fillId="11" fontId="43" numFmtId="0" xfId="0" applyAlignment="1" applyBorder="1" applyFont="1">
      <alignment textRotation="90" vertical="center"/>
    </xf>
    <xf borderId="12" fillId="0" fontId="3" numFmtId="0" xfId="0" applyBorder="1" applyFont="1"/>
    <xf borderId="61" fillId="0" fontId="49" numFmtId="0" xfId="0" applyAlignment="1" applyBorder="1" applyFont="1">
      <alignment horizontal="center"/>
    </xf>
    <xf borderId="42" fillId="3" fontId="36" numFmtId="0" xfId="0" applyAlignment="1" applyBorder="1" applyFont="1">
      <alignment horizontal="center"/>
    </xf>
    <xf borderId="53" fillId="18" fontId="21" numFmtId="0" xfId="0" applyAlignment="1" applyBorder="1" applyFont="1">
      <alignment readingOrder="0"/>
    </xf>
    <xf borderId="67" fillId="0" fontId="4" numFmtId="0" xfId="0" applyAlignment="1" applyBorder="1" applyFont="1">
      <alignment horizontal="center"/>
    </xf>
    <xf borderId="72" fillId="14" fontId="36" numFmtId="0" xfId="0" applyAlignment="1" applyBorder="1" applyFont="1">
      <alignment horizontal="center"/>
    </xf>
    <xf borderId="72" fillId="2" fontId="36" numFmtId="0" xfId="0" applyAlignment="1" applyBorder="1" applyFont="1">
      <alignment horizontal="center"/>
    </xf>
    <xf borderId="2" fillId="14" fontId="48" numFmtId="0" xfId="0" applyAlignment="1" applyBorder="1" applyFont="1">
      <alignment horizontal="center" readingOrder="0" vertical="center"/>
    </xf>
    <xf borderId="2" fillId="2" fontId="48" numFmtId="0" xfId="0" applyAlignment="1" applyBorder="1" applyFont="1">
      <alignment horizontal="center" readingOrder="0" vertical="center"/>
    </xf>
    <xf borderId="2" fillId="5" fontId="48" numFmtId="0" xfId="0" applyAlignment="1" applyBorder="1" applyFont="1">
      <alignment horizontal="center" readingOrder="0" vertical="center"/>
    </xf>
    <xf borderId="2" fillId="3" fontId="50" numFmtId="0" xfId="0" applyAlignment="1" applyBorder="1" applyFont="1">
      <alignment horizontal="center" vertical="center"/>
    </xf>
    <xf borderId="10" fillId="0" fontId="39" numFmtId="0" xfId="0" applyAlignment="1" applyBorder="1" applyFont="1">
      <alignment horizontal="center"/>
    </xf>
    <xf borderId="79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80" fillId="0" fontId="4" numFmtId="0" xfId="0" applyAlignment="1" applyBorder="1" applyFont="1">
      <alignment horizontal="center"/>
    </xf>
    <xf borderId="27" fillId="0" fontId="41" numFmtId="0" xfId="0" applyAlignment="1" applyBorder="1" applyFont="1">
      <alignment horizontal="center" shrinkToFit="0" textRotation="90" vertical="center" wrapText="1"/>
    </xf>
    <xf borderId="51" fillId="0" fontId="41" numFmtId="0" xfId="0" applyAlignment="1" applyBorder="1" applyFont="1">
      <alignment horizontal="center" shrinkToFit="0" textRotation="90" vertical="center" wrapText="1"/>
    </xf>
    <xf borderId="48" fillId="5" fontId="4" numFmtId="0" xfId="0" applyAlignment="1" applyBorder="1" applyFont="1">
      <alignment horizontal="center" shrinkToFit="0" textRotation="90" vertical="center" wrapText="1"/>
    </xf>
    <xf borderId="43" fillId="10" fontId="4" numFmtId="0" xfId="0" applyAlignment="1" applyBorder="1" applyFont="1">
      <alignment horizontal="center"/>
    </xf>
    <xf borderId="54" fillId="8" fontId="36" numFmtId="0" xfId="0" applyAlignment="1" applyBorder="1" applyFont="1">
      <alignment horizontal="center"/>
    </xf>
    <xf borderId="43" fillId="8" fontId="30" numFmtId="0" xfId="0" applyBorder="1" applyFont="1"/>
    <xf borderId="43" fillId="11" fontId="43" numFmtId="0" xfId="0" applyAlignment="1" applyBorder="1" applyFont="1">
      <alignment textRotation="90" vertical="center"/>
    </xf>
    <xf borderId="40" fillId="0" fontId="42" numFmtId="0" xfId="0" applyAlignment="1" applyBorder="1" applyFont="1">
      <alignment horizontal="center" readingOrder="0"/>
    </xf>
    <xf borderId="2" fillId="3" fontId="48" numFmtId="0" xfId="0" applyAlignment="1" applyBorder="1" applyFont="1">
      <alignment vertical="center"/>
    </xf>
    <xf borderId="2" fillId="3" fontId="38" numFmtId="0" xfId="0" applyAlignment="1" applyBorder="1" applyFont="1">
      <alignment horizontal="center" vertical="center"/>
    </xf>
    <xf borderId="10" fillId="0" fontId="30" numFmtId="0" xfId="0" applyBorder="1" applyFont="1"/>
    <xf borderId="26" fillId="0" fontId="51" numFmtId="0" xfId="0" applyAlignment="1" applyBorder="1" applyFont="1">
      <alignment horizontal="center"/>
    </xf>
    <xf borderId="44" fillId="0" fontId="16" numFmtId="0" xfId="0" applyBorder="1" applyFont="1"/>
    <xf borderId="32" fillId="21" fontId="30" numFmtId="0" xfId="0" applyBorder="1" applyFill="1" applyFont="1"/>
    <xf borderId="29" fillId="14" fontId="35" numFmtId="0" xfId="0" applyAlignment="1" applyBorder="1" applyFont="1">
      <alignment horizontal="center"/>
    </xf>
    <xf borderId="29" fillId="22" fontId="35" numFmtId="0" xfId="0" applyAlignment="1" applyBorder="1" applyFill="1" applyFont="1">
      <alignment horizontal="center"/>
    </xf>
    <xf borderId="29" fillId="4" fontId="22" numFmtId="0" xfId="0" applyAlignment="1" applyBorder="1" applyFont="1">
      <alignment horizontal="center"/>
    </xf>
    <xf borderId="67" fillId="0" fontId="16" numFmtId="0" xfId="0" applyBorder="1" applyFont="1"/>
    <xf borderId="81" fillId="0" fontId="16" numFmtId="0" xfId="0" applyBorder="1" applyFont="1"/>
    <xf borderId="82" fillId="4" fontId="52" numFmtId="0" xfId="0" applyAlignment="1" applyBorder="1" applyFont="1">
      <alignment horizontal="center" shrinkToFit="0" textRotation="90" vertical="center" wrapText="1"/>
    </xf>
    <xf borderId="43" fillId="0" fontId="53" numFmtId="20" xfId="0" applyAlignment="1" applyBorder="1" applyFont="1" applyNumberFormat="1">
      <alignment horizontal="center"/>
    </xf>
    <xf borderId="61" fillId="0" fontId="16" numFmtId="0" xfId="0" applyBorder="1" applyFont="1"/>
    <xf borderId="2" fillId="12" fontId="36" numFmtId="0" xfId="0" applyAlignment="1" applyBorder="1" applyFont="1">
      <alignment horizontal="center"/>
    </xf>
    <xf borderId="83" fillId="12" fontId="36" numFmtId="0" xfId="0" applyAlignment="1" applyBorder="1" applyFont="1">
      <alignment horizontal="center"/>
    </xf>
    <xf borderId="84" fillId="12" fontId="36" numFmtId="0" xfId="0" applyAlignment="1" applyBorder="1" applyFont="1">
      <alignment horizontal="center"/>
    </xf>
    <xf borderId="57" fillId="0" fontId="16" numFmtId="0" xfId="0" applyBorder="1" applyFont="1"/>
    <xf borderId="85" fillId="0" fontId="16" numFmtId="0" xfId="0" applyBorder="1" applyFont="1"/>
    <xf borderId="45" fillId="4" fontId="42" numFmtId="0" xfId="0" applyAlignment="1" applyBorder="1" applyFont="1">
      <alignment horizontal="center" vertical="center"/>
    </xf>
    <xf borderId="86" fillId="4" fontId="21" numFmtId="0" xfId="0" applyAlignment="1" applyBorder="1" applyFont="1">
      <alignment vertical="center"/>
    </xf>
    <xf borderId="63" fillId="14" fontId="21" numFmtId="0" xfId="0" applyAlignment="1" applyBorder="1" applyFont="1">
      <alignment horizontal="center"/>
    </xf>
    <xf borderId="63" fillId="4" fontId="21" numFmtId="0" xfId="0" applyAlignment="1" applyBorder="1" applyFont="1">
      <alignment horizontal="center"/>
    </xf>
    <xf borderId="87" fillId="5" fontId="43" numFmtId="0" xfId="0" applyAlignment="1" applyBorder="1" applyFont="1">
      <alignment horizontal="center" textRotation="90" vertical="center"/>
    </xf>
    <xf borderId="87" fillId="11" fontId="43" numFmtId="0" xfId="0" applyAlignment="1" applyBorder="1" applyFont="1">
      <alignment horizontal="center" textRotation="90" vertical="center"/>
    </xf>
    <xf borderId="88" fillId="0" fontId="3" numFmtId="0" xfId="0" applyBorder="1" applyFont="1"/>
    <xf borderId="51" fillId="0" fontId="30" numFmtId="0" xfId="0" applyBorder="1" applyFont="1"/>
    <xf borderId="60" fillId="0" fontId="30" numFmtId="0" xfId="0" applyBorder="1" applyFont="1"/>
    <xf borderId="51" fillId="0" fontId="16" numFmtId="0" xfId="0" applyBorder="1" applyFont="1"/>
    <xf borderId="89" fillId="0" fontId="16" numFmtId="0" xfId="0" applyBorder="1" applyFont="1"/>
    <xf borderId="63" fillId="5" fontId="21" numFmtId="0" xfId="0" applyAlignment="1" applyBorder="1" applyFont="1">
      <alignment horizontal="center"/>
    </xf>
    <xf borderId="90" fillId="0" fontId="16" numFmtId="0" xfId="0" applyBorder="1" applyFont="1"/>
    <xf borderId="61" fillId="0" fontId="3" numFmtId="0" xfId="0" applyBorder="1" applyFont="1"/>
    <xf borderId="45" fillId="0" fontId="42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60" fillId="0" fontId="21" numFmtId="0" xfId="0" applyAlignment="1" applyBorder="1" applyFont="1">
      <alignment horizontal="center"/>
    </xf>
    <xf borderId="63" fillId="23" fontId="21" numFmtId="0" xfId="0" applyAlignment="1" applyBorder="1" applyFill="1" applyFont="1">
      <alignment horizontal="center"/>
    </xf>
    <xf borderId="42" fillId="3" fontId="30" numFmtId="0" xfId="0" applyBorder="1" applyFont="1"/>
    <xf borderId="42" fillId="24" fontId="54" numFmtId="0" xfId="0" applyAlignment="1" applyBorder="1" applyFill="1" applyFont="1">
      <alignment horizontal="center"/>
    </xf>
    <xf borderId="42" fillId="6" fontId="4" numFmtId="0" xfId="0" applyAlignment="1" applyBorder="1" applyFont="1">
      <alignment horizontal="center"/>
    </xf>
    <xf borderId="91" fillId="0" fontId="30" numFmtId="0" xfId="0" applyBorder="1" applyFont="1"/>
    <xf borderId="91" fillId="0" fontId="3" numFmtId="0" xfId="0" applyBorder="1" applyFont="1"/>
    <xf borderId="12" fillId="0" fontId="30" numFmtId="0" xfId="0" applyBorder="1" applyFont="1"/>
    <xf borderId="61" fillId="0" fontId="36" numFmtId="0" xfId="0" applyAlignment="1" applyBorder="1" applyFont="1">
      <alignment horizontal="center"/>
    </xf>
    <xf borderId="61" fillId="0" fontId="55" numFmtId="0" xfId="0" applyBorder="1" applyFont="1"/>
    <xf borderId="91" fillId="0" fontId="36" numFmtId="0" xfId="0" applyAlignment="1" applyBorder="1" applyFont="1">
      <alignment horizontal="center"/>
    </xf>
    <xf borderId="0" fillId="0" fontId="21" numFmtId="0" xfId="0" applyAlignment="1" applyFont="1">
      <alignment horizontal="left"/>
    </xf>
    <xf borderId="0" fillId="0" fontId="21" numFmtId="0" xfId="0" applyFont="1"/>
    <xf borderId="27" fillId="0" fontId="46" numFmtId="0" xfId="0" applyAlignment="1" applyBorder="1" applyFont="1">
      <alignment horizontal="center" vertical="center"/>
    </xf>
    <xf borderId="42" fillId="15" fontId="36" numFmtId="0" xfId="0" applyAlignment="1" applyBorder="1" applyFont="1">
      <alignment horizontal="center"/>
    </xf>
    <xf borderId="37" fillId="15" fontId="36" numFmtId="0" xfId="0" applyAlignment="1" applyBorder="1" applyFont="1">
      <alignment horizontal="center"/>
    </xf>
    <xf borderId="37" fillId="14" fontId="36" numFmtId="0" xfId="0" applyAlignment="1" applyBorder="1" applyFont="1">
      <alignment horizontal="center"/>
    </xf>
    <xf borderId="92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jpg"/><Relationship Id="rId10" Type="http://schemas.openxmlformats.org/officeDocument/2006/relationships/image" Target="../media/image12.jpg"/><Relationship Id="rId13" Type="http://schemas.openxmlformats.org/officeDocument/2006/relationships/image" Target="../media/image1.jpg"/><Relationship Id="rId12" Type="http://schemas.openxmlformats.org/officeDocument/2006/relationships/image" Target="../media/image6.jpg"/><Relationship Id="rId1" Type="http://schemas.openxmlformats.org/officeDocument/2006/relationships/image" Target="../media/image9.jpg"/><Relationship Id="rId2" Type="http://schemas.openxmlformats.org/officeDocument/2006/relationships/image" Target="../media/image13.jpg"/><Relationship Id="rId3" Type="http://schemas.openxmlformats.org/officeDocument/2006/relationships/image" Target="../media/image5.jpg"/><Relationship Id="rId4" Type="http://schemas.openxmlformats.org/officeDocument/2006/relationships/image" Target="../media/image3.jpg"/><Relationship Id="rId9" Type="http://schemas.openxmlformats.org/officeDocument/2006/relationships/image" Target="../media/image10.jpg"/><Relationship Id="rId14" Type="http://schemas.openxmlformats.org/officeDocument/2006/relationships/image" Target="../media/image16.jpg"/><Relationship Id="rId5" Type="http://schemas.openxmlformats.org/officeDocument/2006/relationships/image" Target="../media/image7.jpg"/><Relationship Id="rId6" Type="http://schemas.openxmlformats.org/officeDocument/2006/relationships/image" Target="../media/image4.jpg"/><Relationship Id="rId7" Type="http://schemas.openxmlformats.org/officeDocument/2006/relationships/image" Target="../media/image11.jpg"/><Relationship Id="rId8" Type="http://schemas.openxmlformats.org/officeDocument/2006/relationships/image" Target="../media/image8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</xdr:row>
      <xdr:rowOff>66675</xdr:rowOff>
    </xdr:from>
    <xdr:ext cx="4391025" cy="1524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323850</xdr:colOff>
      <xdr:row>2</xdr:row>
      <xdr:rowOff>19050</xdr:rowOff>
    </xdr:from>
    <xdr:ext cx="4419600" cy="1524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9</xdr:row>
      <xdr:rowOff>95250</xdr:rowOff>
    </xdr:from>
    <xdr:ext cx="2619375" cy="3676650"/>
    <xdr:pic>
      <xdr:nvPicPr>
        <xdr:cNvPr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628650</xdr:colOff>
      <xdr:row>9</xdr:row>
      <xdr:rowOff>152400</xdr:rowOff>
    </xdr:from>
    <xdr:ext cx="3095625" cy="35718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533400</xdr:colOff>
      <xdr:row>9</xdr:row>
      <xdr:rowOff>123825</xdr:rowOff>
    </xdr:from>
    <xdr:ext cx="3200400" cy="36195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400050</xdr:colOff>
      <xdr:row>9</xdr:row>
      <xdr:rowOff>95250</xdr:rowOff>
    </xdr:from>
    <xdr:ext cx="3286125" cy="360997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27</xdr:row>
      <xdr:rowOff>95250</xdr:rowOff>
    </xdr:from>
    <xdr:ext cx="3524250" cy="3533775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628650</xdr:colOff>
      <xdr:row>27</xdr:row>
      <xdr:rowOff>152400</xdr:rowOff>
    </xdr:from>
    <xdr:ext cx="2943225" cy="3543300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60</xdr:row>
      <xdr:rowOff>95250</xdr:rowOff>
    </xdr:from>
    <xdr:ext cx="3409950" cy="3638550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60</xdr:row>
      <xdr:rowOff>95250</xdr:rowOff>
    </xdr:from>
    <xdr:ext cx="3152775" cy="357187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533400</xdr:colOff>
      <xdr:row>60</xdr:row>
      <xdr:rowOff>152400</xdr:rowOff>
    </xdr:from>
    <xdr:ext cx="3028950" cy="3533775"/>
    <xdr:pic>
      <xdr:nvPicPr>
        <xdr:cNvPr id="0" name="image1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762000</xdr:colOff>
      <xdr:row>79</xdr:row>
      <xdr:rowOff>95250</xdr:rowOff>
    </xdr:from>
    <xdr:ext cx="2800350" cy="3581400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581025</xdr:colOff>
      <xdr:row>79</xdr:row>
      <xdr:rowOff>123825</xdr:rowOff>
    </xdr:from>
    <xdr:ext cx="2809875" cy="3581400"/>
    <xdr:pic>
      <xdr:nvPicPr>
        <xdr:cNvPr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628650</xdr:colOff>
      <xdr:row>27</xdr:row>
      <xdr:rowOff>152400</xdr:rowOff>
    </xdr:from>
    <xdr:ext cx="2771775" cy="3543300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1200150</xdr:colOff>
      <xdr:row>27</xdr:row>
      <xdr:rowOff>123825</xdr:rowOff>
    </xdr:from>
    <xdr:ext cx="2381250" cy="3533775"/>
    <xdr:pic>
      <xdr:nvPicPr>
        <xdr:cNvPr id="0" name="image1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19050</xdr:rowOff>
    </xdr:from>
    <xdr:ext cx="3924300" cy="402907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19050</xdr:rowOff>
    </xdr:from>
    <xdr:ext cx="3924300" cy="402907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19050</xdr:rowOff>
    </xdr:from>
    <xdr:ext cx="3924300" cy="402907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2" max="2" width="31.57"/>
    <col customWidth="1" min="3" max="3" width="33.43"/>
    <col customWidth="1" min="4" max="4" width="6.43"/>
    <col customWidth="1" min="5" max="5" width="31.0"/>
    <col customWidth="1" min="6" max="6" width="37.43"/>
    <col customWidth="1" min="7" max="7" width="6.14"/>
    <col customWidth="1" min="8" max="8" width="31.0"/>
    <col customWidth="1" min="9" max="9" width="39.86"/>
    <col customWidth="1" min="10" max="10" width="6.14"/>
    <col customWidth="1" min="11" max="11" width="30.14"/>
    <col customWidth="1" min="12" max="12" width="37.0"/>
    <col customWidth="1" min="13" max="13" width="6.86"/>
    <col customWidth="1" min="14" max="14" width="30.14"/>
    <col customWidth="1" min="15" max="15" width="38.43"/>
    <col customWidth="1" min="16" max="16" width="6.86"/>
    <col customWidth="1" min="17" max="17" width="29.86"/>
    <col customWidth="1" min="18" max="18" width="35.14"/>
    <col customWidth="1" min="19" max="19" width="7.14"/>
    <col customWidth="1" min="20" max="20" width="29.43"/>
    <col customWidth="1" min="21" max="21" width="35.86"/>
  </cols>
  <sheetData>
    <row r="1" ht="37.5" customHeight="1"/>
    <row r="2" ht="37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7.5" customHeight="1">
      <c r="B3" s="3"/>
      <c r="C3" s="3"/>
      <c r="E3" s="4"/>
      <c r="F3" s="5"/>
      <c r="G3" s="6"/>
      <c r="H3" s="5"/>
      <c r="I3" s="5"/>
      <c r="J3" s="5"/>
      <c r="K3" s="5"/>
      <c r="L3" s="5"/>
      <c r="M3" s="6"/>
      <c r="N3" s="7"/>
      <c r="O3" s="7"/>
      <c r="Q3" s="7"/>
      <c r="R3" s="3"/>
    </row>
    <row r="4">
      <c r="B4" s="3"/>
      <c r="C4" s="3"/>
      <c r="E4" s="8" t="s">
        <v>1</v>
      </c>
      <c r="F4" s="8"/>
      <c r="G4" s="6"/>
      <c r="H4" s="8"/>
      <c r="I4" s="8"/>
      <c r="J4" s="8"/>
      <c r="K4" s="8"/>
      <c r="L4" s="8"/>
      <c r="M4" s="6"/>
      <c r="N4" s="8" t="s">
        <v>2</v>
      </c>
      <c r="O4" s="8"/>
      <c r="Q4" s="9"/>
      <c r="R4" s="3"/>
    </row>
    <row r="5" ht="37.5" customHeight="1">
      <c r="B5" s="3"/>
      <c r="C5" s="3"/>
      <c r="E5" s="8"/>
      <c r="F5" s="8"/>
      <c r="G5" s="6"/>
      <c r="H5" s="8"/>
      <c r="I5" s="8"/>
      <c r="J5" s="8"/>
      <c r="K5" s="8"/>
      <c r="L5" s="8"/>
      <c r="M5" s="6"/>
      <c r="N5" s="8"/>
      <c r="O5" s="8"/>
      <c r="Q5" s="9"/>
      <c r="R5" s="3"/>
    </row>
    <row r="6" ht="37.5" customHeight="1">
      <c r="B6" s="3"/>
      <c r="C6" s="3"/>
      <c r="E6" s="8"/>
      <c r="F6" s="8"/>
      <c r="G6" s="6"/>
      <c r="H6" s="8"/>
      <c r="I6" s="8"/>
      <c r="J6" s="8"/>
      <c r="K6" s="8"/>
      <c r="L6" s="8"/>
      <c r="M6" s="6"/>
      <c r="N6" s="8"/>
      <c r="O6" s="8"/>
      <c r="Q6" s="10"/>
      <c r="R6" s="3"/>
    </row>
    <row r="7" ht="37.5" customHeight="1">
      <c r="B7" s="3"/>
      <c r="C7" s="3"/>
      <c r="E7" s="4"/>
      <c r="F7" s="11"/>
      <c r="G7" s="12"/>
      <c r="H7" s="5"/>
      <c r="I7" s="5"/>
      <c r="J7" s="6"/>
      <c r="K7" s="7"/>
      <c r="L7" s="13"/>
      <c r="N7" s="14"/>
      <c r="O7" s="3"/>
    </row>
    <row r="8" ht="25.5" customHeight="1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ht="37.5" customHeight="1">
      <c r="B9" s="16"/>
      <c r="C9" s="17"/>
      <c r="D9" s="15"/>
      <c r="E9" s="16"/>
      <c r="F9" s="17"/>
      <c r="G9" s="15"/>
      <c r="H9" s="16"/>
      <c r="I9" s="17"/>
      <c r="K9" s="16"/>
      <c r="L9" s="17"/>
      <c r="M9" s="15"/>
      <c r="N9" s="16"/>
      <c r="O9" s="17"/>
      <c r="P9" s="15"/>
      <c r="Q9" s="16"/>
      <c r="R9" s="17"/>
    </row>
    <row r="10" ht="37.5" customHeight="1">
      <c r="B10" s="18"/>
      <c r="C10" s="19"/>
      <c r="D10" s="20"/>
      <c r="E10" s="21"/>
      <c r="F10" s="22"/>
      <c r="G10" s="20"/>
      <c r="H10" s="21"/>
      <c r="I10" s="22"/>
      <c r="K10" s="21"/>
      <c r="L10" s="22"/>
      <c r="M10" s="20"/>
      <c r="N10" s="21"/>
      <c r="O10" s="22"/>
      <c r="P10" s="20"/>
      <c r="Q10" s="21"/>
      <c r="R10" s="22"/>
    </row>
    <row r="11" ht="37.5" customHeight="1">
      <c r="B11" s="23"/>
      <c r="C11" s="24"/>
      <c r="D11" s="20"/>
      <c r="E11" s="23"/>
      <c r="F11" s="24"/>
      <c r="G11" s="20"/>
      <c r="H11" s="23"/>
      <c r="I11" s="24"/>
      <c r="K11" s="23"/>
      <c r="L11" s="24"/>
      <c r="M11" s="20"/>
      <c r="N11" s="23"/>
      <c r="O11" s="24"/>
      <c r="P11" s="20"/>
      <c r="Q11" s="23"/>
      <c r="R11" s="24"/>
    </row>
    <row r="12" ht="37.5" customHeight="1">
      <c r="B12" s="23"/>
      <c r="C12" s="24"/>
      <c r="D12" s="20"/>
      <c r="E12" s="23"/>
      <c r="F12" s="24"/>
      <c r="G12" s="20"/>
      <c r="H12" s="23"/>
      <c r="I12" s="24"/>
      <c r="K12" s="23"/>
      <c r="L12" s="24"/>
      <c r="M12" s="20"/>
      <c r="N12" s="23"/>
      <c r="O12" s="24"/>
      <c r="P12" s="20"/>
      <c r="Q12" s="23"/>
      <c r="R12" s="24"/>
    </row>
    <row r="13" ht="37.5" customHeight="1">
      <c r="B13" s="23"/>
      <c r="C13" s="24"/>
      <c r="D13" s="20"/>
      <c r="E13" s="23"/>
      <c r="F13" s="24"/>
      <c r="G13" s="20"/>
      <c r="H13" s="23"/>
      <c r="I13" s="24"/>
      <c r="K13" s="23"/>
      <c r="L13" s="24"/>
      <c r="M13" s="20"/>
      <c r="N13" s="23"/>
      <c r="O13" s="24"/>
      <c r="P13" s="20"/>
      <c r="Q13" s="23"/>
      <c r="R13" s="24"/>
    </row>
    <row r="14" ht="37.5" customHeight="1">
      <c r="B14" s="23"/>
      <c r="C14" s="24"/>
      <c r="D14" s="20"/>
      <c r="E14" s="23"/>
      <c r="F14" s="24"/>
      <c r="G14" s="20"/>
      <c r="H14" s="23"/>
      <c r="I14" s="24"/>
      <c r="K14" s="23"/>
      <c r="L14" s="24"/>
      <c r="M14" s="20"/>
      <c r="N14" s="23"/>
      <c r="O14" s="24"/>
      <c r="P14" s="20"/>
      <c r="Q14" s="23"/>
      <c r="R14" s="24"/>
    </row>
    <row r="15" ht="37.5" customHeight="1">
      <c r="B15" s="23"/>
      <c r="C15" s="24"/>
      <c r="D15" s="20"/>
      <c r="E15" s="23"/>
      <c r="F15" s="24"/>
      <c r="G15" s="20"/>
      <c r="H15" s="23"/>
      <c r="I15" s="24"/>
      <c r="K15" s="23"/>
      <c r="L15" s="24"/>
      <c r="M15" s="20"/>
      <c r="N15" s="23"/>
      <c r="O15" s="24"/>
      <c r="P15" s="20"/>
      <c r="Q15" s="23"/>
      <c r="R15" s="24"/>
    </row>
    <row r="16" ht="37.5" customHeight="1">
      <c r="B16" s="23"/>
      <c r="C16" s="24"/>
      <c r="D16" s="20"/>
      <c r="E16" s="23"/>
      <c r="F16" s="24"/>
      <c r="G16" s="20"/>
      <c r="H16" s="23"/>
      <c r="I16" s="24"/>
      <c r="K16" s="23"/>
      <c r="L16" s="24"/>
      <c r="M16" s="20"/>
      <c r="N16" s="23"/>
      <c r="O16" s="24"/>
      <c r="P16" s="20"/>
      <c r="Q16" s="23"/>
      <c r="R16" s="24"/>
    </row>
    <row r="17" ht="37.5" customHeight="1">
      <c r="B17" s="25"/>
      <c r="C17" s="26"/>
      <c r="D17" s="20"/>
      <c r="E17" s="27"/>
      <c r="F17" s="28"/>
      <c r="G17" s="20"/>
      <c r="H17" s="27"/>
      <c r="I17" s="28"/>
      <c r="K17" s="27"/>
      <c r="L17" s="28"/>
      <c r="M17" s="20"/>
      <c r="N17" s="27"/>
      <c r="O17" s="28"/>
      <c r="P17" s="20"/>
      <c r="Q17" s="27"/>
      <c r="R17" s="28"/>
    </row>
    <row r="18" ht="37.5" customHeight="1">
      <c r="A18" s="29"/>
      <c r="B18" s="30" t="s">
        <v>3</v>
      </c>
      <c r="C18" s="17"/>
      <c r="D18" s="31"/>
      <c r="E18" s="30" t="s">
        <v>3</v>
      </c>
      <c r="F18" s="17"/>
      <c r="G18" s="31"/>
      <c r="H18" s="30" t="s">
        <v>4</v>
      </c>
      <c r="I18" s="17"/>
      <c r="J18" s="32"/>
      <c r="K18" s="30" t="s">
        <v>4</v>
      </c>
      <c r="L18" s="17"/>
      <c r="M18" s="31"/>
      <c r="N18" s="30" t="s">
        <v>5</v>
      </c>
      <c r="O18" s="17"/>
      <c r="P18" s="31"/>
      <c r="Q18" s="30" t="s">
        <v>5</v>
      </c>
      <c r="R18" s="17"/>
      <c r="S18" s="29"/>
      <c r="T18" s="29"/>
      <c r="U18" s="29"/>
      <c r="V18" s="29"/>
      <c r="W18" s="29"/>
      <c r="X18" s="29"/>
      <c r="Y18" s="29"/>
    </row>
    <row r="19" ht="37.5" customHeight="1">
      <c r="A19" s="33"/>
      <c r="B19" s="34" t="s">
        <v>6</v>
      </c>
      <c r="C19" s="35" t="s">
        <v>7</v>
      </c>
      <c r="D19" s="36"/>
      <c r="E19" s="34" t="s">
        <v>6</v>
      </c>
      <c r="F19" s="37" t="s">
        <v>8</v>
      </c>
      <c r="G19" s="36"/>
      <c r="H19" s="34" t="s">
        <v>6</v>
      </c>
      <c r="I19" s="38" t="s">
        <v>9</v>
      </c>
      <c r="J19" s="39"/>
      <c r="K19" s="34" t="s">
        <v>6</v>
      </c>
      <c r="L19" s="37" t="s">
        <v>10</v>
      </c>
      <c r="M19" s="36"/>
      <c r="N19" s="34" t="s">
        <v>6</v>
      </c>
      <c r="O19" s="37" t="s">
        <v>11</v>
      </c>
      <c r="P19" s="36"/>
      <c r="Q19" s="34" t="s">
        <v>6</v>
      </c>
      <c r="R19" s="37" t="s">
        <v>12</v>
      </c>
      <c r="S19" s="33"/>
      <c r="T19" s="33"/>
      <c r="U19" s="33"/>
      <c r="V19" s="33"/>
      <c r="W19" s="33"/>
      <c r="X19" s="33"/>
      <c r="Y19" s="33"/>
    </row>
    <row r="20" ht="37.5" customHeight="1">
      <c r="A20" s="33"/>
      <c r="B20" s="34" t="s">
        <v>13</v>
      </c>
      <c r="C20" s="40">
        <v>2008.0</v>
      </c>
      <c r="D20" s="36"/>
      <c r="E20" s="34" t="s">
        <v>13</v>
      </c>
      <c r="F20" s="41">
        <v>2008.0</v>
      </c>
      <c r="G20" s="36"/>
      <c r="H20" s="34" t="s">
        <v>13</v>
      </c>
      <c r="I20" s="40">
        <v>2009.0</v>
      </c>
      <c r="J20" s="39"/>
      <c r="K20" s="34" t="s">
        <v>13</v>
      </c>
      <c r="L20" s="41">
        <v>2008.0</v>
      </c>
      <c r="M20" s="36"/>
      <c r="N20" s="34" t="s">
        <v>13</v>
      </c>
      <c r="O20" s="41">
        <v>2007.0</v>
      </c>
      <c r="P20" s="36"/>
      <c r="Q20" s="34" t="s">
        <v>13</v>
      </c>
      <c r="R20" s="41">
        <v>2008.0</v>
      </c>
      <c r="S20" s="33"/>
      <c r="T20" s="33"/>
      <c r="U20" s="33"/>
      <c r="V20" s="33"/>
      <c r="W20" s="33"/>
      <c r="X20" s="33"/>
      <c r="Y20" s="33"/>
    </row>
    <row r="21" ht="37.5" customHeight="1">
      <c r="A21" s="33"/>
      <c r="B21" s="42" t="s">
        <v>14</v>
      </c>
      <c r="C21" s="41"/>
      <c r="D21" s="36"/>
      <c r="E21" s="42" t="s">
        <v>14</v>
      </c>
      <c r="F21" s="41"/>
      <c r="G21" s="36"/>
      <c r="H21" s="42" t="s">
        <v>14</v>
      </c>
      <c r="I21" s="41"/>
      <c r="J21" s="39"/>
      <c r="K21" s="42" t="s">
        <v>14</v>
      </c>
      <c r="L21" s="41"/>
      <c r="M21" s="36"/>
      <c r="N21" s="42" t="s">
        <v>14</v>
      </c>
      <c r="O21" s="41"/>
      <c r="P21" s="36"/>
      <c r="Q21" s="42" t="s">
        <v>14</v>
      </c>
      <c r="R21" s="41"/>
      <c r="S21" s="33"/>
      <c r="T21" s="33"/>
      <c r="U21" s="33"/>
      <c r="V21" s="33"/>
      <c r="W21" s="33"/>
      <c r="X21" s="33"/>
      <c r="Y21" s="33"/>
    </row>
    <row r="22" ht="37.5" customHeight="1">
      <c r="A22" s="33"/>
      <c r="B22" s="42" t="s">
        <v>15</v>
      </c>
      <c r="C22" s="43" t="s">
        <v>16</v>
      </c>
      <c r="D22" s="36"/>
      <c r="E22" s="42" t="s">
        <v>15</v>
      </c>
      <c r="F22" s="44" t="s">
        <v>17</v>
      </c>
      <c r="G22" s="36"/>
      <c r="H22" s="42" t="s">
        <v>15</v>
      </c>
      <c r="I22" s="45" t="s">
        <v>18</v>
      </c>
      <c r="J22" s="39"/>
      <c r="K22" s="42" t="s">
        <v>15</v>
      </c>
      <c r="L22" s="46"/>
      <c r="M22" s="36"/>
      <c r="N22" s="42" t="s">
        <v>15</v>
      </c>
      <c r="O22" s="47"/>
      <c r="P22" s="36"/>
      <c r="Q22" s="42" t="s">
        <v>15</v>
      </c>
      <c r="R22" s="47"/>
      <c r="S22" s="33"/>
      <c r="T22" s="33"/>
      <c r="U22" s="33"/>
      <c r="V22" s="33"/>
      <c r="W22" s="33"/>
      <c r="X22" s="33"/>
      <c r="Y22" s="33"/>
    </row>
    <row r="23" ht="37.5" customHeight="1">
      <c r="A23" s="33"/>
      <c r="B23" s="42" t="s">
        <v>19</v>
      </c>
      <c r="C23" s="41"/>
      <c r="D23" s="36"/>
      <c r="E23" s="42" t="s">
        <v>19</v>
      </c>
      <c r="F23" s="41"/>
      <c r="G23" s="36"/>
      <c r="H23" s="42" t="s">
        <v>19</v>
      </c>
      <c r="I23" s="41"/>
      <c r="J23" s="39"/>
      <c r="K23" s="42" t="s">
        <v>19</v>
      </c>
      <c r="L23" s="41"/>
      <c r="M23" s="36"/>
      <c r="N23" s="42" t="s">
        <v>19</v>
      </c>
      <c r="O23" s="41"/>
      <c r="P23" s="36"/>
      <c r="Q23" s="42" t="s">
        <v>19</v>
      </c>
      <c r="R23" s="41"/>
      <c r="S23" s="33"/>
      <c r="T23" s="33"/>
      <c r="U23" s="33"/>
      <c r="V23" s="33"/>
      <c r="W23" s="33"/>
      <c r="X23" s="33"/>
      <c r="Y23" s="33"/>
    </row>
    <row r="24" ht="37.5" customHeight="1">
      <c r="A24" s="33"/>
      <c r="B24" s="42" t="s">
        <v>20</v>
      </c>
      <c r="C24" s="41"/>
      <c r="D24" s="36"/>
      <c r="E24" s="42" t="s">
        <v>20</v>
      </c>
      <c r="F24" s="41"/>
      <c r="G24" s="36"/>
      <c r="H24" s="42" t="s">
        <v>20</v>
      </c>
      <c r="I24" s="41"/>
      <c r="J24" s="39"/>
      <c r="K24" s="42" t="s">
        <v>21</v>
      </c>
      <c r="L24" s="41"/>
      <c r="M24" s="36"/>
      <c r="N24" s="42" t="s">
        <v>21</v>
      </c>
      <c r="O24" s="41"/>
      <c r="P24" s="36"/>
      <c r="Q24" s="42" t="s">
        <v>21</v>
      </c>
      <c r="R24" s="41"/>
      <c r="S24" s="33"/>
      <c r="T24" s="33"/>
      <c r="U24" s="33"/>
      <c r="V24" s="33"/>
      <c r="W24" s="33"/>
      <c r="X24" s="33"/>
      <c r="Y24" s="33"/>
    </row>
    <row r="25" ht="37.5" customHeight="1">
      <c r="A25" s="33"/>
      <c r="B25" s="48" t="s">
        <v>22</v>
      </c>
      <c r="C25" s="41"/>
      <c r="D25" s="36"/>
      <c r="E25" s="48" t="s">
        <v>22</v>
      </c>
      <c r="F25" s="41"/>
      <c r="G25" s="36"/>
      <c r="H25" s="48" t="s">
        <v>22</v>
      </c>
      <c r="I25" s="41"/>
      <c r="J25" s="39"/>
      <c r="K25" s="48" t="s">
        <v>22</v>
      </c>
      <c r="L25" s="41"/>
      <c r="M25" s="36"/>
      <c r="N25" s="48" t="s">
        <v>22</v>
      </c>
      <c r="O25" s="49"/>
      <c r="P25" s="36"/>
      <c r="Q25" s="48" t="s">
        <v>22</v>
      </c>
      <c r="R25" s="49"/>
      <c r="S25" s="33"/>
      <c r="T25" s="33"/>
      <c r="U25" s="33"/>
      <c r="V25" s="33"/>
      <c r="W25" s="33"/>
      <c r="X25" s="33"/>
      <c r="Y25" s="33"/>
    </row>
    <row r="26" ht="37.5" customHeight="1">
      <c r="A26" s="50"/>
      <c r="B26" s="51"/>
      <c r="C26" s="51"/>
      <c r="D26" s="52"/>
      <c r="E26" s="51"/>
      <c r="F26" s="51"/>
      <c r="G26" s="52"/>
      <c r="H26" s="51"/>
      <c r="I26" s="51"/>
      <c r="J26" s="50"/>
      <c r="K26" s="51"/>
      <c r="L26" s="51"/>
      <c r="M26" s="52"/>
      <c r="N26" s="51"/>
      <c r="O26" s="51"/>
      <c r="P26" s="52"/>
      <c r="Q26" s="51"/>
      <c r="R26" s="51"/>
      <c r="S26" s="50"/>
      <c r="T26" s="50"/>
      <c r="U26" s="50"/>
      <c r="V26" s="50"/>
      <c r="W26" s="50"/>
    </row>
    <row r="27" ht="37.5" customHeight="1">
      <c r="B27" s="16"/>
      <c r="C27" s="17"/>
      <c r="D27" s="15"/>
      <c r="E27" s="16"/>
      <c r="F27" s="17"/>
      <c r="G27" s="15"/>
      <c r="H27" s="16"/>
      <c r="I27" s="17"/>
      <c r="K27" s="16"/>
      <c r="L27" s="17"/>
      <c r="M27" s="15"/>
      <c r="N27" s="16"/>
      <c r="O27" s="17"/>
      <c r="P27" s="15"/>
      <c r="Q27" s="16"/>
      <c r="R27" s="17"/>
    </row>
    <row r="28" ht="37.5" customHeight="1">
      <c r="B28" s="18"/>
      <c r="C28" s="19"/>
      <c r="D28" s="20"/>
      <c r="E28" s="53"/>
      <c r="F28" s="54"/>
      <c r="G28" s="20"/>
      <c r="H28" s="21"/>
      <c r="I28" s="22"/>
      <c r="K28" s="21"/>
      <c r="L28" s="22"/>
      <c r="M28" s="20"/>
      <c r="N28" s="21"/>
      <c r="O28" s="22"/>
      <c r="P28" s="20"/>
      <c r="Q28" s="21"/>
      <c r="R28" s="22"/>
    </row>
    <row r="29" ht="37.5" customHeight="1">
      <c r="B29" s="23"/>
      <c r="C29" s="24"/>
      <c r="D29" s="20"/>
      <c r="E29" s="55"/>
      <c r="F29" s="54"/>
      <c r="G29" s="20"/>
      <c r="H29" s="23"/>
      <c r="I29" s="24"/>
      <c r="K29" s="23"/>
      <c r="L29" s="24"/>
      <c r="M29" s="20"/>
      <c r="N29" s="23"/>
      <c r="O29" s="24"/>
      <c r="P29" s="20"/>
      <c r="Q29" s="23"/>
      <c r="R29" s="24"/>
    </row>
    <row r="30" ht="37.5" customHeight="1">
      <c r="B30" s="23"/>
      <c r="C30" s="24"/>
      <c r="D30" s="20"/>
      <c r="E30" s="55"/>
      <c r="F30" s="54"/>
      <c r="G30" s="20"/>
      <c r="H30" s="23"/>
      <c r="I30" s="24"/>
      <c r="K30" s="23"/>
      <c r="L30" s="24"/>
      <c r="M30" s="20"/>
      <c r="N30" s="23"/>
      <c r="O30" s="24"/>
      <c r="P30" s="20"/>
      <c r="Q30" s="23"/>
      <c r="R30" s="24"/>
    </row>
    <row r="31" ht="37.5" customHeight="1">
      <c r="B31" s="23"/>
      <c r="C31" s="24"/>
      <c r="D31" s="20"/>
      <c r="E31" s="55"/>
      <c r="F31" s="54"/>
      <c r="G31" s="20"/>
      <c r="H31" s="23"/>
      <c r="I31" s="24"/>
      <c r="K31" s="23"/>
      <c r="L31" s="24"/>
      <c r="M31" s="20"/>
      <c r="N31" s="23"/>
      <c r="O31" s="24"/>
      <c r="P31" s="20"/>
      <c r="Q31" s="23"/>
      <c r="R31" s="24"/>
    </row>
    <row r="32" ht="37.5" customHeight="1">
      <c r="B32" s="23"/>
      <c r="C32" s="24"/>
      <c r="D32" s="20"/>
      <c r="E32" s="55"/>
      <c r="F32" s="54"/>
      <c r="G32" s="20"/>
      <c r="H32" s="23"/>
      <c r="I32" s="24"/>
      <c r="K32" s="23"/>
      <c r="L32" s="24"/>
      <c r="M32" s="20"/>
      <c r="N32" s="23"/>
      <c r="O32" s="24"/>
      <c r="P32" s="20"/>
      <c r="Q32" s="23"/>
      <c r="R32" s="24"/>
    </row>
    <row r="33" ht="37.5" customHeight="1">
      <c r="B33" s="23"/>
      <c r="C33" s="24"/>
      <c r="D33" s="20"/>
      <c r="E33" s="55"/>
      <c r="F33" s="54"/>
      <c r="G33" s="20"/>
      <c r="H33" s="23"/>
      <c r="I33" s="24"/>
      <c r="K33" s="23"/>
      <c r="L33" s="24"/>
      <c r="M33" s="20"/>
      <c r="N33" s="23"/>
      <c r="O33" s="24"/>
      <c r="P33" s="20"/>
      <c r="Q33" s="23"/>
      <c r="R33" s="24"/>
    </row>
    <row r="34" ht="37.5" customHeight="1">
      <c r="B34" s="23"/>
      <c r="C34" s="24"/>
      <c r="D34" s="20"/>
      <c r="E34" s="55"/>
      <c r="F34" s="54"/>
      <c r="G34" s="20"/>
      <c r="H34" s="23"/>
      <c r="I34" s="24"/>
      <c r="K34" s="23"/>
      <c r="L34" s="24"/>
      <c r="M34" s="20"/>
      <c r="N34" s="23"/>
      <c r="O34" s="24"/>
      <c r="P34" s="20"/>
      <c r="Q34" s="23"/>
      <c r="R34" s="24"/>
    </row>
    <row r="35" ht="37.5" customHeight="1">
      <c r="B35" s="25"/>
      <c r="C35" s="26"/>
      <c r="D35" s="20"/>
      <c r="E35" s="55"/>
      <c r="F35" s="54"/>
      <c r="G35" s="20"/>
      <c r="H35" s="27"/>
      <c r="I35" s="28"/>
      <c r="K35" s="27"/>
      <c r="L35" s="28"/>
      <c r="M35" s="20"/>
      <c r="N35" s="27"/>
      <c r="O35" s="28"/>
      <c r="P35" s="20"/>
      <c r="Q35" s="27"/>
      <c r="R35" s="28"/>
    </row>
    <row r="36" ht="37.5" customHeight="1">
      <c r="A36" s="29"/>
      <c r="B36" s="56" t="s">
        <v>23</v>
      </c>
      <c r="C36" s="17"/>
      <c r="D36" s="31"/>
      <c r="E36" s="30" t="s">
        <v>5</v>
      </c>
      <c r="F36" s="17"/>
      <c r="G36" s="31"/>
      <c r="H36" s="30" t="s">
        <v>5</v>
      </c>
      <c r="I36" s="17"/>
      <c r="J36" s="32"/>
      <c r="K36" s="30" t="s">
        <v>24</v>
      </c>
      <c r="L36" s="17"/>
      <c r="M36" s="31"/>
      <c r="N36" s="30" t="s">
        <v>24</v>
      </c>
      <c r="O36" s="17"/>
      <c r="P36" s="31"/>
      <c r="Q36" s="30" t="s">
        <v>25</v>
      </c>
      <c r="R36" s="17"/>
      <c r="S36" s="29"/>
      <c r="T36" s="29"/>
      <c r="U36" s="29"/>
      <c r="V36" s="29"/>
      <c r="W36" s="29"/>
      <c r="X36" s="29"/>
      <c r="Y36" s="29"/>
    </row>
    <row r="37" ht="37.5" customHeight="1">
      <c r="A37" s="33"/>
      <c r="B37" s="34" t="s">
        <v>6</v>
      </c>
      <c r="C37" s="37" t="s">
        <v>26</v>
      </c>
      <c r="D37" s="36"/>
      <c r="E37" s="34" t="s">
        <v>6</v>
      </c>
      <c r="F37" s="37"/>
      <c r="G37" s="36"/>
      <c r="H37" s="34" t="s">
        <v>6</v>
      </c>
      <c r="I37" s="37"/>
      <c r="J37" s="39"/>
      <c r="K37" s="34" t="s">
        <v>6</v>
      </c>
      <c r="L37" s="37" t="s">
        <v>27</v>
      </c>
      <c r="M37" s="36"/>
      <c r="N37" s="34" t="s">
        <v>6</v>
      </c>
      <c r="O37" s="37" t="s">
        <v>28</v>
      </c>
      <c r="P37" s="36"/>
      <c r="Q37" s="34" t="s">
        <v>6</v>
      </c>
      <c r="R37" s="37" t="s">
        <v>29</v>
      </c>
      <c r="S37" s="33"/>
      <c r="T37" s="33"/>
      <c r="U37" s="33"/>
      <c r="V37" s="33"/>
      <c r="W37" s="33"/>
      <c r="X37" s="33"/>
      <c r="Y37" s="33"/>
    </row>
    <row r="38" ht="37.5" customHeight="1">
      <c r="A38" s="33"/>
      <c r="B38" s="34" t="s">
        <v>13</v>
      </c>
      <c r="C38" s="41">
        <v>2007.0</v>
      </c>
      <c r="D38" s="36"/>
      <c r="E38" s="34" t="s">
        <v>13</v>
      </c>
      <c r="F38" s="44"/>
      <c r="G38" s="36"/>
      <c r="H38" s="34" t="s">
        <v>13</v>
      </c>
      <c r="I38" s="44"/>
      <c r="J38" s="39"/>
      <c r="K38" s="34" t="s">
        <v>13</v>
      </c>
      <c r="L38" s="44">
        <v>2007.0</v>
      </c>
      <c r="M38" s="36"/>
      <c r="N38" s="34" t="s">
        <v>13</v>
      </c>
      <c r="O38" s="44">
        <v>2008.0</v>
      </c>
      <c r="P38" s="36"/>
      <c r="Q38" s="34" t="s">
        <v>13</v>
      </c>
      <c r="R38" s="44">
        <v>2007.0</v>
      </c>
      <c r="S38" s="33"/>
      <c r="T38" s="33"/>
      <c r="U38" s="33"/>
      <c r="V38" s="33"/>
      <c r="W38" s="33"/>
      <c r="X38" s="33"/>
      <c r="Y38" s="33"/>
    </row>
    <row r="39" ht="37.5" customHeight="1">
      <c r="A39" s="33"/>
      <c r="B39" s="42" t="s">
        <v>14</v>
      </c>
      <c r="C39" s="41"/>
      <c r="D39" s="36"/>
      <c r="E39" s="42" t="s">
        <v>14</v>
      </c>
      <c r="F39" s="41"/>
      <c r="G39" s="36"/>
      <c r="H39" s="42" t="s">
        <v>14</v>
      </c>
      <c r="I39" s="41"/>
      <c r="J39" s="39"/>
      <c r="K39" s="42" t="s">
        <v>14</v>
      </c>
      <c r="L39" s="41"/>
      <c r="M39" s="36"/>
      <c r="N39" s="42" t="s">
        <v>14</v>
      </c>
      <c r="O39" s="41"/>
      <c r="P39" s="36"/>
      <c r="Q39" s="42" t="s">
        <v>14</v>
      </c>
      <c r="R39" s="41"/>
      <c r="S39" s="33"/>
      <c r="T39" s="33"/>
      <c r="U39" s="33"/>
      <c r="V39" s="33"/>
      <c r="W39" s="33"/>
      <c r="X39" s="33"/>
      <c r="Y39" s="33"/>
    </row>
    <row r="40" ht="37.5" customHeight="1">
      <c r="A40" s="33"/>
      <c r="B40" s="42" t="s">
        <v>15</v>
      </c>
      <c r="C40" s="46"/>
      <c r="D40" s="36"/>
      <c r="E40" s="42" t="s">
        <v>15</v>
      </c>
      <c r="F40" s="46"/>
      <c r="G40" s="36"/>
      <c r="H40" s="42" t="s">
        <v>15</v>
      </c>
      <c r="I40" s="44"/>
      <c r="J40" s="39"/>
      <c r="K40" s="42" t="s">
        <v>15</v>
      </c>
      <c r="L40" s="46"/>
      <c r="M40" s="36"/>
      <c r="N40" s="42" t="s">
        <v>15</v>
      </c>
      <c r="O40" s="46"/>
      <c r="P40" s="36"/>
      <c r="Q40" s="42" t="s">
        <v>15</v>
      </c>
      <c r="R40" s="47"/>
      <c r="S40" s="33"/>
      <c r="T40" s="33"/>
      <c r="U40" s="33"/>
      <c r="V40" s="33"/>
      <c r="W40" s="33"/>
      <c r="X40" s="33"/>
      <c r="Y40" s="33"/>
    </row>
    <row r="41" ht="37.5" customHeight="1">
      <c r="A41" s="33"/>
      <c r="B41" s="42" t="s">
        <v>19</v>
      </c>
      <c r="C41" s="41"/>
      <c r="D41" s="36"/>
      <c r="E41" s="42" t="s">
        <v>19</v>
      </c>
      <c r="F41" s="41"/>
      <c r="G41" s="36"/>
      <c r="H41" s="42" t="s">
        <v>19</v>
      </c>
      <c r="I41" s="41"/>
      <c r="J41" s="39"/>
      <c r="K41" s="42" t="s">
        <v>19</v>
      </c>
      <c r="L41" s="41"/>
      <c r="M41" s="36"/>
      <c r="N41" s="42" t="s">
        <v>19</v>
      </c>
      <c r="O41" s="41"/>
      <c r="P41" s="36"/>
      <c r="Q41" s="42" t="s">
        <v>19</v>
      </c>
      <c r="R41" s="41"/>
      <c r="S41" s="33"/>
      <c r="T41" s="33"/>
      <c r="U41" s="33"/>
      <c r="V41" s="33"/>
      <c r="W41" s="33"/>
      <c r="X41" s="33"/>
      <c r="Y41" s="33"/>
    </row>
    <row r="42" ht="37.5" customHeight="1">
      <c r="A42" s="33"/>
      <c r="B42" s="42" t="s">
        <v>21</v>
      </c>
      <c r="C42" s="41"/>
      <c r="D42" s="36"/>
      <c r="E42" s="42" t="s">
        <v>21</v>
      </c>
      <c r="F42" s="41"/>
      <c r="G42" s="36"/>
      <c r="H42" s="42" t="s">
        <v>21</v>
      </c>
      <c r="I42" s="41"/>
      <c r="J42" s="39"/>
      <c r="K42" s="42" t="s">
        <v>21</v>
      </c>
      <c r="L42" s="41"/>
      <c r="M42" s="36"/>
      <c r="N42" s="42" t="s">
        <v>21</v>
      </c>
      <c r="O42" s="41"/>
      <c r="P42" s="36"/>
      <c r="Q42" s="42" t="s">
        <v>21</v>
      </c>
      <c r="R42" s="41"/>
      <c r="S42" s="33"/>
      <c r="T42" s="33"/>
      <c r="U42" s="33"/>
      <c r="V42" s="33"/>
      <c r="W42" s="33"/>
      <c r="X42" s="33"/>
      <c r="Y42" s="33"/>
    </row>
    <row r="43" ht="37.5" customHeight="1">
      <c r="A43" s="33"/>
      <c r="B43" s="48" t="s">
        <v>22</v>
      </c>
      <c r="C43" s="41"/>
      <c r="D43" s="36"/>
      <c r="E43" s="48" t="s">
        <v>22</v>
      </c>
      <c r="F43" s="49"/>
      <c r="G43" s="36"/>
      <c r="H43" s="48" t="s">
        <v>22</v>
      </c>
      <c r="I43" s="49"/>
      <c r="J43" s="39"/>
      <c r="K43" s="48" t="s">
        <v>22</v>
      </c>
      <c r="L43" s="49"/>
      <c r="M43" s="36"/>
      <c r="N43" s="48" t="s">
        <v>22</v>
      </c>
      <c r="O43" s="49"/>
      <c r="P43" s="36"/>
      <c r="Q43" s="48" t="s">
        <v>22</v>
      </c>
      <c r="R43" s="49"/>
      <c r="S43" s="33"/>
      <c r="T43" s="33"/>
      <c r="U43" s="33"/>
      <c r="V43" s="33"/>
      <c r="W43" s="33"/>
      <c r="X43" s="33"/>
      <c r="Y43" s="33"/>
    </row>
    <row r="44" ht="37.5" customHeight="1">
      <c r="A44" s="33"/>
      <c r="T44" s="33"/>
      <c r="U44" s="33"/>
      <c r="V44" s="33"/>
      <c r="W44" s="33"/>
      <c r="X44" s="33"/>
      <c r="Y44" s="33"/>
    </row>
    <row r="45" ht="37.5" customHeight="1">
      <c r="A45" s="33"/>
      <c r="T45" s="33"/>
      <c r="U45" s="33"/>
      <c r="V45" s="33"/>
      <c r="W45" s="33"/>
      <c r="X45" s="33"/>
      <c r="Y45" s="33"/>
    </row>
    <row r="46" ht="37.5" customHeight="1">
      <c r="A46" s="33"/>
      <c r="T46" s="33"/>
      <c r="U46" s="33"/>
      <c r="V46" s="33"/>
      <c r="W46" s="33"/>
      <c r="X46" s="33"/>
      <c r="Y46" s="33"/>
    </row>
    <row r="47" ht="37.5" customHeight="1">
      <c r="A47" s="33"/>
      <c r="T47" s="33"/>
      <c r="U47" s="33"/>
      <c r="V47" s="33"/>
      <c r="W47" s="33"/>
      <c r="X47" s="33"/>
      <c r="Y47" s="33"/>
    </row>
    <row r="48" ht="37.5" customHeight="1">
      <c r="A48" s="33"/>
      <c r="T48" s="33"/>
      <c r="U48" s="33"/>
      <c r="V48" s="33"/>
      <c r="W48" s="33"/>
      <c r="X48" s="33"/>
      <c r="Y48" s="33"/>
    </row>
    <row r="49" ht="37.5" customHeight="1">
      <c r="A49" s="33"/>
      <c r="T49" s="33"/>
      <c r="U49" s="33"/>
      <c r="V49" s="33"/>
      <c r="W49" s="33"/>
      <c r="X49" s="33"/>
      <c r="Y49" s="33"/>
    </row>
    <row r="50" ht="37.5" customHeight="1">
      <c r="A50" s="33"/>
      <c r="T50" s="33"/>
      <c r="U50" s="33"/>
      <c r="V50" s="33"/>
      <c r="W50" s="33"/>
      <c r="X50" s="33"/>
      <c r="Y50" s="33"/>
    </row>
    <row r="51" ht="37.5" customHeight="1">
      <c r="A51" s="33"/>
      <c r="T51" s="33"/>
      <c r="U51" s="33"/>
      <c r="V51" s="33"/>
      <c r="W51" s="33"/>
      <c r="X51" s="33"/>
      <c r="Y51" s="33"/>
    </row>
    <row r="59" ht="51.0" customHeight="1"/>
    <row r="60" ht="37.5" customHeight="1">
      <c r="B60" s="16"/>
      <c r="C60" s="17"/>
      <c r="D60" s="15"/>
      <c r="E60" s="16"/>
      <c r="F60" s="17"/>
      <c r="G60" s="15"/>
      <c r="H60" s="16"/>
      <c r="I60" s="17"/>
      <c r="K60" s="16"/>
      <c r="L60" s="17"/>
      <c r="M60" s="15"/>
      <c r="N60" s="16"/>
      <c r="O60" s="17"/>
      <c r="P60" s="15"/>
      <c r="Q60" s="16"/>
      <c r="R60" s="17"/>
    </row>
    <row r="61" ht="37.5" customHeight="1">
      <c r="B61" s="18"/>
      <c r="C61" s="19"/>
      <c r="D61" s="20"/>
      <c r="E61" s="21"/>
      <c r="F61" s="22"/>
      <c r="G61" s="20"/>
      <c r="H61" s="21"/>
      <c r="I61" s="22"/>
      <c r="K61" s="21"/>
      <c r="L61" s="22"/>
      <c r="M61" s="20"/>
      <c r="N61" s="21"/>
      <c r="O61" s="22"/>
      <c r="P61" s="20"/>
      <c r="Q61" s="21"/>
      <c r="R61" s="22"/>
    </row>
    <row r="62" ht="37.5" customHeight="1">
      <c r="B62" s="23"/>
      <c r="C62" s="24"/>
      <c r="D62" s="20"/>
      <c r="E62" s="23"/>
      <c r="F62" s="24"/>
      <c r="G62" s="20"/>
      <c r="H62" s="23"/>
      <c r="I62" s="24"/>
      <c r="K62" s="23"/>
      <c r="L62" s="24"/>
      <c r="M62" s="20"/>
      <c r="N62" s="23"/>
      <c r="O62" s="24"/>
      <c r="P62" s="20"/>
      <c r="Q62" s="23"/>
      <c r="R62" s="24"/>
    </row>
    <row r="63" ht="37.5" customHeight="1">
      <c r="B63" s="23"/>
      <c r="C63" s="24"/>
      <c r="D63" s="20"/>
      <c r="E63" s="23"/>
      <c r="F63" s="24"/>
      <c r="G63" s="20"/>
      <c r="H63" s="23"/>
      <c r="I63" s="24"/>
      <c r="K63" s="23"/>
      <c r="L63" s="24"/>
      <c r="M63" s="20"/>
      <c r="N63" s="23"/>
      <c r="O63" s="24"/>
      <c r="P63" s="20"/>
      <c r="Q63" s="23"/>
      <c r="R63" s="24"/>
    </row>
    <row r="64" ht="37.5" customHeight="1">
      <c r="B64" s="23"/>
      <c r="C64" s="24"/>
      <c r="D64" s="20"/>
      <c r="E64" s="23"/>
      <c r="F64" s="24"/>
      <c r="G64" s="20"/>
      <c r="H64" s="23"/>
      <c r="I64" s="24"/>
      <c r="K64" s="23"/>
      <c r="L64" s="24"/>
      <c r="M64" s="20"/>
      <c r="N64" s="23"/>
      <c r="O64" s="24"/>
      <c r="P64" s="20"/>
      <c r="Q64" s="23"/>
      <c r="R64" s="24"/>
    </row>
    <row r="65" ht="37.5" customHeight="1">
      <c r="B65" s="23"/>
      <c r="C65" s="24"/>
      <c r="D65" s="20"/>
      <c r="E65" s="23"/>
      <c r="F65" s="24"/>
      <c r="G65" s="20"/>
      <c r="H65" s="23"/>
      <c r="I65" s="24"/>
      <c r="K65" s="23"/>
      <c r="L65" s="24"/>
      <c r="M65" s="20"/>
      <c r="N65" s="23"/>
      <c r="O65" s="24"/>
      <c r="P65" s="20"/>
      <c r="Q65" s="23"/>
      <c r="R65" s="24"/>
    </row>
    <row r="66" ht="37.5" customHeight="1">
      <c r="B66" s="23"/>
      <c r="C66" s="24"/>
      <c r="D66" s="20"/>
      <c r="E66" s="23"/>
      <c r="F66" s="24"/>
      <c r="G66" s="20"/>
      <c r="H66" s="23"/>
      <c r="I66" s="24"/>
      <c r="K66" s="23"/>
      <c r="L66" s="24"/>
      <c r="M66" s="20"/>
      <c r="N66" s="23"/>
      <c r="O66" s="24"/>
      <c r="P66" s="20"/>
      <c r="Q66" s="23"/>
      <c r="R66" s="24"/>
    </row>
    <row r="67" ht="37.5" customHeight="1">
      <c r="B67" s="23"/>
      <c r="C67" s="24"/>
      <c r="D67" s="20"/>
      <c r="E67" s="23"/>
      <c r="F67" s="24"/>
      <c r="G67" s="20"/>
      <c r="H67" s="23"/>
      <c r="I67" s="24"/>
      <c r="K67" s="23"/>
      <c r="L67" s="24"/>
      <c r="M67" s="20"/>
      <c r="N67" s="23"/>
      <c r="O67" s="24"/>
      <c r="P67" s="20"/>
      <c r="Q67" s="23"/>
      <c r="R67" s="24"/>
    </row>
    <row r="68" ht="37.5" customHeight="1">
      <c r="B68" s="25"/>
      <c r="C68" s="26"/>
      <c r="D68" s="20"/>
      <c r="E68" s="27"/>
      <c r="F68" s="28"/>
      <c r="G68" s="20"/>
      <c r="H68" s="27"/>
      <c r="I68" s="28"/>
      <c r="K68" s="27"/>
      <c r="L68" s="28"/>
      <c r="M68" s="20"/>
      <c r="N68" s="27"/>
      <c r="O68" s="28"/>
      <c r="P68" s="20"/>
      <c r="Q68" s="27"/>
      <c r="R68" s="28"/>
    </row>
    <row r="69" ht="37.5" customHeight="1">
      <c r="A69" s="29"/>
      <c r="B69" s="30" t="s">
        <v>25</v>
      </c>
      <c r="C69" s="17"/>
      <c r="D69" s="31"/>
      <c r="E69" s="30" t="s">
        <v>25</v>
      </c>
      <c r="F69" s="17"/>
      <c r="G69" s="31"/>
      <c r="H69" s="30" t="s">
        <v>25</v>
      </c>
      <c r="I69" s="17"/>
      <c r="J69" s="32"/>
      <c r="K69" s="30" t="s">
        <v>25</v>
      </c>
      <c r="L69" s="17"/>
      <c r="M69" s="31"/>
      <c r="N69" s="30" t="s">
        <v>25</v>
      </c>
      <c r="O69" s="17"/>
      <c r="P69" s="31"/>
      <c r="Q69" s="30" t="s">
        <v>30</v>
      </c>
      <c r="R69" s="17"/>
      <c r="S69" s="29"/>
      <c r="T69" s="29"/>
      <c r="U69" s="29"/>
      <c r="V69" s="29"/>
      <c r="W69" s="29"/>
      <c r="X69" s="29"/>
      <c r="Y69" s="29"/>
    </row>
    <row r="70" ht="37.5" customHeight="1">
      <c r="A70" s="33"/>
      <c r="B70" s="34" t="s">
        <v>6</v>
      </c>
      <c r="C70" s="37" t="s">
        <v>31</v>
      </c>
      <c r="D70" s="36"/>
      <c r="E70" s="34" t="s">
        <v>6</v>
      </c>
      <c r="F70" s="37"/>
      <c r="G70" s="36"/>
      <c r="H70" s="34" t="s">
        <v>6</v>
      </c>
      <c r="I70" s="37" t="s">
        <v>32</v>
      </c>
      <c r="J70" s="39"/>
      <c r="K70" s="34" t="s">
        <v>6</v>
      </c>
      <c r="L70" s="38" t="s">
        <v>33</v>
      </c>
      <c r="M70" s="36"/>
      <c r="N70" s="34" t="s">
        <v>6</v>
      </c>
      <c r="O70" s="37"/>
      <c r="P70" s="36"/>
      <c r="Q70" s="34" t="s">
        <v>6</v>
      </c>
      <c r="R70" s="37" t="s">
        <v>34</v>
      </c>
      <c r="S70" s="33"/>
      <c r="T70" s="33"/>
      <c r="U70" s="33"/>
      <c r="V70" s="33"/>
      <c r="W70" s="33"/>
      <c r="X70" s="33"/>
      <c r="Y70" s="33"/>
    </row>
    <row r="71" ht="37.5" customHeight="1">
      <c r="A71" s="33"/>
      <c r="B71" s="34" t="s">
        <v>13</v>
      </c>
      <c r="C71" s="44">
        <v>2007.0</v>
      </c>
      <c r="D71" s="36"/>
      <c r="E71" s="34" t="s">
        <v>13</v>
      </c>
      <c r="F71" s="44"/>
      <c r="G71" s="36"/>
      <c r="H71" s="34" t="s">
        <v>13</v>
      </c>
      <c r="I71" s="44">
        <v>2007.0</v>
      </c>
      <c r="J71" s="39"/>
      <c r="K71" s="34" t="s">
        <v>13</v>
      </c>
      <c r="L71" s="43">
        <v>2009.0</v>
      </c>
      <c r="M71" s="36"/>
      <c r="N71" s="34" t="s">
        <v>13</v>
      </c>
      <c r="O71" s="44"/>
      <c r="P71" s="36"/>
      <c r="Q71" s="34" t="s">
        <v>13</v>
      </c>
      <c r="R71" s="44">
        <v>2008.0</v>
      </c>
      <c r="S71" s="33"/>
      <c r="T71" s="33"/>
      <c r="U71" s="33"/>
      <c r="V71" s="33"/>
      <c r="W71" s="33"/>
      <c r="X71" s="33"/>
      <c r="Y71" s="33"/>
    </row>
    <row r="72" ht="37.5" customHeight="1">
      <c r="A72" s="33"/>
      <c r="B72" s="42" t="s">
        <v>14</v>
      </c>
      <c r="C72" s="41"/>
      <c r="D72" s="36"/>
      <c r="E72" s="42" t="s">
        <v>14</v>
      </c>
      <c r="F72" s="41"/>
      <c r="G72" s="36"/>
      <c r="H72" s="42" t="s">
        <v>14</v>
      </c>
      <c r="I72" s="41"/>
      <c r="J72" s="39"/>
      <c r="K72" s="42" t="s">
        <v>14</v>
      </c>
      <c r="L72" s="41"/>
      <c r="M72" s="36"/>
      <c r="N72" s="42" t="s">
        <v>14</v>
      </c>
      <c r="O72" s="41"/>
      <c r="P72" s="36"/>
      <c r="Q72" s="42" t="s">
        <v>14</v>
      </c>
      <c r="R72" s="41"/>
      <c r="S72" s="33"/>
      <c r="T72" s="33"/>
      <c r="U72" s="33"/>
      <c r="V72" s="33"/>
      <c r="W72" s="33"/>
      <c r="X72" s="33"/>
      <c r="Y72" s="33"/>
    </row>
    <row r="73" ht="37.5" customHeight="1">
      <c r="A73" s="33"/>
      <c r="B73" s="42" t="s">
        <v>15</v>
      </c>
      <c r="C73" s="46"/>
      <c r="D73" s="36"/>
      <c r="E73" s="42" t="s">
        <v>15</v>
      </c>
      <c r="F73" s="46"/>
      <c r="G73" s="36"/>
      <c r="H73" s="42" t="s">
        <v>15</v>
      </c>
      <c r="I73" s="44" t="s">
        <v>35</v>
      </c>
      <c r="J73" s="39"/>
      <c r="K73" s="42" t="s">
        <v>15</v>
      </c>
      <c r="L73" s="43" t="s">
        <v>18</v>
      </c>
      <c r="M73" s="36"/>
      <c r="N73" s="42" t="s">
        <v>15</v>
      </c>
      <c r="O73" s="46"/>
      <c r="P73" s="36"/>
      <c r="Q73" s="42" t="s">
        <v>15</v>
      </c>
      <c r="R73" s="46"/>
      <c r="S73" s="33"/>
      <c r="T73" s="33"/>
      <c r="U73" s="33"/>
      <c r="V73" s="33"/>
      <c r="W73" s="33"/>
      <c r="X73" s="33"/>
      <c r="Y73" s="33"/>
    </row>
    <row r="74" ht="37.5" customHeight="1">
      <c r="A74" s="33"/>
      <c r="B74" s="42" t="s">
        <v>19</v>
      </c>
      <c r="C74" s="41"/>
      <c r="D74" s="36"/>
      <c r="E74" s="42" t="s">
        <v>19</v>
      </c>
      <c r="F74" s="41"/>
      <c r="G74" s="36"/>
      <c r="H74" s="42" t="s">
        <v>19</v>
      </c>
      <c r="I74" s="41"/>
      <c r="J74" s="39"/>
      <c r="K74" s="42" t="s">
        <v>19</v>
      </c>
      <c r="L74" s="41"/>
      <c r="M74" s="36"/>
      <c r="N74" s="42" t="s">
        <v>19</v>
      </c>
      <c r="O74" s="41"/>
      <c r="P74" s="36"/>
      <c r="Q74" s="42" t="s">
        <v>19</v>
      </c>
      <c r="R74" s="41"/>
      <c r="S74" s="33"/>
      <c r="T74" s="33"/>
      <c r="U74" s="33"/>
      <c r="V74" s="33"/>
      <c r="W74" s="33"/>
      <c r="X74" s="33"/>
      <c r="Y74" s="33"/>
    </row>
    <row r="75" ht="37.5" customHeight="1">
      <c r="A75" s="33"/>
      <c r="B75" s="42" t="s">
        <v>21</v>
      </c>
      <c r="C75" s="41"/>
      <c r="D75" s="36"/>
      <c r="E75" s="42" t="s">
        <v>21</v>
      </c>
      <c r="F75" s="41"/>
      <c r="G75" s="36"/>
      <c r="H75" s="42" t="s">
        <v>21</v>
      </c>
      <c r="I75" s="41"/>
      <c r="J75" s="39"/>
      <c r="K75" s="42" t="s">
        <v>21</v>
      </c>
      <c r="L75" s="41"/>
      <c r="M75" s="36"/>
      <c r="N75" s="42" t="s">
        <v>21</v>
      </c>
      <c r="O75" s="41"/>
      <c r="P75" s="36"/>
      <c r="Q75" s="42" t="s">
        <v>21</v>
      </c>
      <c r="R75" s="41"/>
      <c r="S75" s="33"/>
      <c r="T75" s="33"/>
      <c r="U75" s="33"/>
      <c r="V75" s="33"/>
      <c r="W75" s="33"/>
      <c r="X75" s="33"/>
      <c r="Y75" s="33"/>
    </row>
    <row r="76" ht="37.5" customHeight="1">
      <c r="A76" s="33"/>
      <c r="B76" s="48" t="s">
        <v>22</v>
      </c>
      <c r="C76" s="49"/>
      <c r="D76" s="36"/>
      <c r="E76" s="48" t="s">
        <v>22</v>
      </c>
      <c r="F76" s="49"/>
      <c r="G76" s="36"/>
      <c r="H76" s="48" t="s">
        <v>22</v>
      </c>
      <c r="I76" s="49"/>
      <c r="J76" s="39"/>
      <c r="K76" s="48" t="s">
        <v>22</v>
      </c>
      <c r="L76" s="49"/>
      <c r="M76" s="36"/>
      <c r="N76" s="48" t="s">
        <v>22</v>
      </c>
      <c r="O76" s="49"/>
      <c r="P76" s="36"/>
      <c r="Q76" s="48" t="s">
        <v>22</v>
      </c>
      <c r="R76" s="49"/>
      <c r="S76" s="33"/>
      <c r="T76" s="33"/>
      <c r="U76" s="33"/>
      <c r="V76" s="33"/>
      <c r="W76" s="33"/>
      <c r="X76" s="33"/>
      <c r="Y76" s="33"/>
    </row>
    <row r="78" ht="15.0" customHeight="1"/>
    <row r="79" ht="37.5" customHeight="1">
      <c r="B79" s="16"/>
      <c r="C79" s="17"/>
      <c r="E79" s="57"/>
      <c r="F79" s="58"/>
      <c r="G79" s="15"/>
      <c r="H79" s="16"/>
      <c r="I79" s="17"/>
      <c r="K79" s="16"/>
      <c r="L79" s="17"/>
      <c r="N79" s="16"/>
      <c r="O79" s="17"/>
      <c r="Q79" s="16"/>
      <c r="R79" s="17"/>
    </row>
    <row r="80" ht="37.5" customHeight="1">
      <c r="B80" s="18"/>
      <c r="C80" s="19"/>
      <c r="E80" s="53"/>
      <c r="F80" s="54"/>
      <c r="H80" s="21"/>
      <c r="I80" s="22"/>
      <c r="K80" s="21"/>
      <c r="L80" s="22"/>
      <c r="N80" s="21"/>
      <c r="O80" s="22"/>
      <c r="Q80" s="21"/>
      <c r="R80" s="22"/>
    </row>
    <row r="81" ht="37.5" customHeight="1">
      <c r="B81" s="23"/>
      <c r="C81" s="24"/>
      <c r="E81" s="55"/>
      <c r="F81" s="54"/>
      <c r="H81" s="23"/>
      <c r="I81" s="24"/>
      <c r="K81" s="23"/>
      <c r="L81" s="24"/>
      <c r="N81" s="23"/>
      <c r="O81" s="24"/>
      <c r="Q81" s="23"/>
      <c r="R81" s="24"/>
    </row>
    <row r="82" ht="37.5" customHeight="1">
      <c r="B82" s="23"/>
      <c r="C82" s="24"/>
      <c r="E82" s="55"/>
      <c r="F82" s="54"/>
      <c r="H82" s="23"/>
      <c r="I82" s="24"/>
      <c r="K82" s="23"/>
      <c r="L82" s="24"/>
      <c r="N82" s="23"/>
      <c r="O82" s="24"/>
      <c r="Q82" s="23"/>
      <c r="R82" s="24"/>
    </row>
    <row r="83" ht="37.5" customHeight="1">
      <c r="B83" s="23"/>
      <c r="C83" s="24"/>
      <c r="E83" s="55"/>
      <c r="F83" s="54"/>
      <c r="H83" s="23"/>
      <c r="I83" s="24"/>
      <c r="K83" s="23"/>
      <c r="L83" s="24"/>
      <c r="N83" s="23"/>
      <c r="O83" s="24"/>
      <c r="Q83" s="23"/>
      <c r="R83" s="24"/>
    </row>
    <row r="84" ht="37.5" customHeight="1">
      <c r="B84" s="23"/>
      <c r="C84" s="24"/>
      <c r="E84" s="55"/>
      <c r="F84" s="54"/>
      <c r="H84" s="23"/>
      <c r="I84" s="24"/>
      <c r="K84" s="23"/>
      <c r="L84" s="24"/>
      <c r="N84" s="23"/>
      <c r="O84" s="24"/>
      <c r="Q84" s="23"/>
      <c r="R84" s="24"/>
    </row>
    <row r="85" ht="37.5" customHeight="1">
      <c r="B85" s="23"/>
      <c r="C85" s="24"/>
      <c r="E85" s="55"/>
      <c r="F85" s="54"/>
      <c r="H85" s="23"/>
      <c r="I85" s="24"/>
      <c r="K85" s="23"/>
      <c r="L85" s="24"/>
      <c r="N85" s="23"/>
      <c r="O85" s="24"/>
      <c r="Q85" s="23"/>
      <c r="R85" s="24"/>
    </row>
    <row r="86" ht="37.5" customHeight="1">
      <c r="B86" s="23"/>
      <c r="C86" s="24"/>
      <c r="E86" s="55"/>
      <c r="F86" s="54"/>
      <c r="H86" s="23"/>
      <c r="I86" s="24"/>
      <c r="K86" s="23"/>
      <c r="L86" s="24"/>
      <c r="N86" s="23"/>
      <c r="O86" s="24"/>
      <c r="Q86" s="23"/>
      <c r="R86" s="24"/>
    </row>
    <row r="87" ht="37.5" customHeight="1">
      <c r="B87" s="25"/>
      <c r="C87" s="26"/>
      <c r="E87" s="55"/>
      <c r="F87" s="54"/>
      <c r="H87" s="27"/>
      <c r="I87" s="28"/>
      <c r="K87" s="27"/>
      <c r="L87" s="28"/>
      <c r="N87" s="27"/>
      <c r="O87" s="28"/>
      <c r="Q87" s="27"/>
      <c r="R87" s="28"/>
    </row>
    <row r="88" ht="37.5" customHeight="1">
      <c r="A88" s="29"/>
      <c r="B88" s="30" t="s">
        <v>30</v>
      </c>
      <c r="C88" s="17"/>
      <c r="D88" s="29"/>
      <c r="E88" s="30" t="s">
        <v>30</v>
      </c>
      <c r="F88" s="17"/>
      <c r="G88" s="29"/>
      <c r="H88" s="30" t="s">
        <v>30</v>
      </c>
      <c r="I88" s="17"/>
      <c r="J88" s="29"/>
      <c r="K88" s="30" t="s">
        <v>30</v>
      </c>
      <c r="L88" s="17"/>
      <c r="M88" s="29"/>
      <c r="N88" s="30" t="s">
        <v>36</v>
      </c>
      <c r="O88" s="17"/>
      <c r="P88" s="29"/>
      <c r="Q88" s="30" t="s">
        <v>36</v>
      </c>
      <c r="R88" s="17"/>
      <c r="S88" s="29"/>
      <c r="T88" s="29"/>
      <c r="U88" s="29"/>
      <c r="V88" s="29"/>
      <c r="W88" s="29"/>
      <c r="X88" s="29"/>
      <c r="Y88" s="29"/>
    </row>
    <row r="89" ht="37.5" customHeight="1">
      <c r="A89" s="33"/>
      <c r="B89" s="34" t="s">
        <v>6</v>
      </c>
      <c r="C89" s="37"/>
      <c r="D89" s="33"/>
      <c r="E89" s="34" t="s">
        <v>6</v>
      </c>
      <c r="F89" s="37"/>
      <c r="G89" s="33"/>
      <c r="H89" s="34" t="s">
        <v>6</v>
      </c>
      <c r="I89" s="37"/>
      <c r="J89" s="33"/>
      <c r="K89" s="34" t="s">
        <v>6</v>
      </c>
      <c r="L89" s="37" t="s">
        <v>37</v>
      </c>
      <c r="M89" s="33"/>
      <c r="N89" s="34" t="s">
        <v>6</v>
      </c>
      <c r="O89" s="37" t="s">
        <v>38</v>
      </c>
      <c r="P89" s="33"/>
      <c r="Q89" s="34" t="s">
        <v>6</v>
      </c>
      <c r="R89" s="37" t="s">
        <v>39</v>
      </c>
      <c r="S89" s="33"/>
      <c r="T89" s="33"/>
      <c r="U89" s="33"/>
      <c r="V89" s="33"/>
      <c r="W89" s="33"/>
      <c r="X89" s="33"/>
      <c r="Y89" s="33"/>
    </row>
    <row r="90" ht="37.5" customHeight="1">
      <c r="A90" s="33"/>
      <c r="B90" s="34" t="s">
        <v>13</v>
      </c>
      <c r="C90" s="44"/>
      <c r="D90" s="33"/>
      <c r="E90" s="34" t="s">
        <v>13</v>
      </c>
      <c r="F90" s="44"/>
      <c r="G90" s="33"/>
      <c r="H90" s="34" t="s">
        <v>13</v>
      </c>
      <c r="I90" s="44"/>
      <c r="J90" s="33"/>
      <c r="K90" s="34" t="s">
        <v>13</v>
      </c>
      <c r="L90" s="44">
        <v>2007.0</v>
      </c>
      <c r="M90" s="33"/>
      <c r="N90" s="34" t="s">
        <v>13</v>
      </c>
      <c r="O90" s="44">
        <v>2007.0</v>
      </c>
      <c r="P90" s="33"/>
      <c r="Q90" s="34" t="s">
        <v>13</v>
      </c>
      <c r="R90" s="44">
        <v>2008.0</v>
      </c>
      <c r="S90" s="33"/>
      <c r="T90" s="33"/>
      <c r="U90" s="33"/>
      <c r="V90" s="33"/>
      <c r="W90" s="33"/>
      <c r="X90" s="33"/>
      <c r="Y90" s="33"/>
    </row>
    <row r="91" ht="37.5" customHeight="1">
      <c r="A91" s="33"/>
      <c r="B91" s="42" t="s">
        <v>14</v>
      </c>
      <c r="C91" s="41"/>
      <c r="D91" s="33"/>
      <c r="E91" s="42" t="s">
        <v>14</v>
      </c>
      <c r="F91" s="41"/>
      <c r="G91" s="33"/>
      <c r="H91" s="42" t="s">
        <v>14</v>
      </c>
      <c r="I91" s="41"/>
      <c r="J91" s="33"/>
      <c r="K91" s="42" t="s">
        <v>14</v>
      </c>
      <c r="L91" s="41"/>
      <c r="M91" s="33"/>
      <c r="N91" s="42" t="s">
        <v>14</v>
      </c>
      <c r="O91" s="41"/>
      <c r="P91" s="33"/>
      <c r="Q91" s="42" t="s">
        <v>14</v>
      </c>
      <c r="R91" s="41"/>
      <c r="S91" s="33"/>
      <c r="T91" s="33"/>
      <c r="U91" s="33"/>
      <c r="V91" s="33"/>
      <c r="W91" s="33"/>
      <c r="X91" s="33"/>
      <c r="Y91" s="33"/>
    </row>
    <row r="92" ht="37.5" customHeight="1">
      <c r="A92" s="33"/>
      <c r="B92" s="42" t="s">
        <v>15</v>
      </c>
      <c r="C92" s="46"/>
      <c r="D92" s="33"/>
      <c r="E92" s="42" t="s">
        <v>15</v>
      </c>
      <c r="F92" s="46"/>
      <c r="G92" s="33"/>
      <c r="H92" s="42" t="s">
        <v>15</v>
      </c>
      <c r="I92" s="46"/>
      <c r="J92" s="33"/>
      <c r="K92" s="42" t="s">
        <v>15</v>
      </c>
      <c r="L92" s="44" t="s">
        <v>16</v>
      </c>
      <c r="M92" s="33"/>
      <c r="N92" s="42" t="s">
        <v>15</v>
      </c>
      <c r="O92" s="46"/>
      <c r="P92" s="33"/>
      <c r="Q92" s="42" t="s">
        <v>15</v>
      </c>
      <c r="R92" s="46"/>
      <c r="S92" s="33"/>
      <c r="T92" s="33"/>
      <c r="U92" s="33"/>
      <c r="V92" s="33"/>
      <c r="W92" s="33"/>
      <c r="X92" s="33"/>
      <c r="Y92" s="33"/>
    </row>
    <row r="93" ht="37.5" customHeight="1">
      <c r="A93" s="33"/>
      <c r="B93" s="42" t="s">
        <v>19</v>
      </c>
      <c r="C93" s="41"/>
      <c r="D93" s="33"/>
      <c r="E93" s="42" t="s">
        <v>19</v>
      </c>
      <c r="F93" s="41"/>
      <c r="G93" s="33"/>
      <c r="H93" s="42" t="s">
        <v>19</v>
      </c>
      <c r="I93" s="41"/>
      <c r="J93" s="33"/>
      <c r="K93" s="42" t="s">
        <v>19</v>
      </c>
      <c r="L93" s="41"/>
      <c r="M93" s="33"/>
      <c r="N93" s="42" t="s">
        <v>19</v>
      </c>
      <c r="O93" s="41"/>
      <c r="P93" s="33"/>
      <c r="Q93" s="42" t="s">
        <v>19</v>
      </c>
      <c r="R93" s="41"/>
      <c r="S93" s="33"/>
      <c r="T93" s="33"/>
      <c r="U93" s="33"/>
      <c r="V93" s="33"/>
      <c r="W93" s="33"/>
      <c r="X93" s="33"/>
      <c r="Y93" s="33"/>
    </row>
    <row r="94" ht="37.5" customHeight="1">
      <c r="A94" s="33"/>
      <c r="B94" s="42" t="s">
        <v>21</v>
      </c>
      <c r="C94" s="41"/>
      <c r="D94" s="33"/>
      <c r="E94" s="42" t="s">
        <v>21</v>
      </c>
      <c r="F94" s="41"/>
      <c r="G94" s="33"/>
      <c r="H94" s="42" t="s">
        <v>21</v>
      </c>
      <c r="I94" s="41"/>
      <c r="J94" s="33"/>
      <c r="K94" s="42" t="s">
        <v>21</v>
      </c>
      <c r="L94" s="41"/>
      <c r="M94" s="33"/>
      <c r="N94" s="42" t="s">
        <v>21</v>
      </c>
      <c r="O94" s="41"/>
      <c r="P94" s="33"/>
      <c r="Q94" s="42" t="s">
        <v>21</v>
      </c>
      <c r="R94" s="41"/>
      <c r="S94" s="33"/>
      <c r="T94" s="33"/>
      <c r="U94" s="33"/>
      <c r="V94" s="33"/>
      <c r="W94" s="33"/>
      <c r="X94" s="33"/>
      <c r="Y94" s="33"/>
    </row>
    <row r="95" ht="37.5" customHeight="1">
      <c r="A95" s="33"/>
      <c r="B95" s="48" t="s">
        <v>22</v>
      </c>
      <c r="C95" s="49"/>
      <c r="D95" s="33"/>
      <c r="E95" s="48" t="s">
        <v>22</v>
      </c>
      <c r="F95" s="49"/>
      <c r="G95" s="33"/>
      <c r="H95" s="48" t="s">
        <v>22</v>
      </c>
      <c r="I95" s="41"/>
      <c r="J95" s="33"/>
      <c r="K95" s="48" t="s">
        <v>22</v>
      </c>
      <c r="L95" s="41"/>
      <c r="M95" s="33"/>
      <c r="N95" s="48" t="s">
        <v>22</v>
      </c>
      <c r="O95" s="41"/>
      <c r="P95" s="33"/>
      <c r="Q95" s="48" t="s">
        <v>22</v>
      </c>
      <c r="R95" s="41"/>
      <c r="S95" s="33"/>
      <c r="T95" s="33"/>
      <c r="U95" s="33"/>
      <c r="V95" s="33"/>
      <c r="W95" s="33"/>
      <c r="X95" s="33"/>
      <c r="Y95" s="33"/>
    </row>
  </sheetData>
  <mergeCells count="69">
    <mergeCell ref="N60:O60"/>
    <mergeCell ref="N61:O68"/>
    <mergeCell ref="B60:C60"/>
    <mergeCell ref="E60:F60"/>
    <mergeCell ref="K60:L60"/>
    <mergeCell ref="Q60:R60"/>
    <mergeCell ref="B61:C68"/>
    <mergeCell ref="E61:F68"/>
    <mergeCell ref="K61:L68"/>
    <mergeCell ref="Q61:R68"/>
    <mergeCell ref="K79:L79"/>
    <mergeCell ref="K80:L87"/>
    <mergeCell ref="K88:L88"/>
    <mergeCell ref="Q79:R79"/>
    <mergeCell ref="Q80:R87"/>
    <mergeCell ref="Q88:R88"/>
    <mergeCell ref="B88:C88"/>
    <mergeCell ref="E88:F88"/>
    <mergeCell ref="H88:I88"/>
    <mergeCell ref="N88:O88"/>
    <mergeCell ref="B69:C69"/>
    <mergeCell ref="B79:C79"/>
    <mergeCell ref="H79:I79"/>
    <mergeCell ref="N79:O79"/>
    <mergeCell ref="B80:C87"/>
    <mergeCell ref="H80:I87"/>
    <mergeCell ref="N80:O87"/>
    <mergeCell ref="H9:I9"/>
    <mergeCell ref="H10:I17"/>
    <mergeCell ref="H27:I27"/>
    <mergeCell ref="K27:L27"/>
    <mergeCell ref="H28:I35"/>
    <mergeCell ref="K28:L35"/>
    <mergeCell ref="H36:I36"/>
    <mergeCell ref="K36:L36"/>
    <mergeCell ref="E18:F18"/>
    <mergeCell ref="H18:I18"/>
    <mergeCell ref="K18:L18"/>
    <mergeCell ref="Q18:R18"/>
    <mergeCell ref="B9:C9"/>
    <mergeCell ref="E9:F9"/>
    <mergeCell ref="K9:L9"/>
    <mergeCell ref="Q9:R9"/>
    <mergeCell ref="E10:F17"/>
    <mergeCell ref="K10:L17"/>
    <mergeCell ref="Q10:R17"/>
    <mergeCell ref="Q28:R35"/>
    <mergeCell ref="Q36:R36"/>
    <mergeCell ref="N9:O9"/>
    <mergeCell ref="N10:O17"/>
    <mergeCell ref="N18:O18"/>
    <mergeCell ref="N27:O27"/>
    <mergeCell ref="Q27:R27"/>
    <mergeCell ref="N28:O35"/>
    <mergeCell ref="N36:O36"/>
    <mergeCell ref="B10:C17"/>
    <mergeCell ref="B18:C18"/>
    <mergeCell ref="B27:C27"/>
    <mergeCell ref="E27:F27"/>
    <mergeCell ref="B28:C35"/>
    <mergeCell ref="B36:C36"/>
    <mergeCell ref="E36:F36"/>
    <mergeCell ref="H60:I60"/>
    <mergeCell ref="H61:I68"/>
    <mergeCell ref="E69:F69"/>
    <mergeCell ref="H69:I69"/>
    <mergeCell ref="K69:L69"/>
    <mergeCell ref="N69:O69"/>
    <mergeCell ref="Q69:R69"/>
  </mergeCells>
  <conditionalFormatting sqref="C23 C41 C74 C93 F23 F41 F74 F93 I23 I41 I74 I93 L23 L41 L74 L93 O23 O41 O74 R23 R41 R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 C41 C74 C93 F23 F41 F74 F93 I23 I41 I74 I93 L23 L41 L74 O23 O41 O74 R23 R41 R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 C75 C94 F42 F75 F94 I42 I75 I94:I95 L24 L42 L75 L94 O24 O42 O75 R24 R42 R7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 C75 C94 F42 F75 F94 I42 I75 I94:I95 L24 L42 L75 L94:L95 O24 O42 O75 R24 R42 R7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 C75 C94 F42 F75 F94 I42 I75 I94:I95 L24 L42 L75 O24 O42 O75 R24 R42 R7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 C75 C94 F42 F75 F94 I42 I75 L24 L42 L75 O24 O42 O75 R24 R42 R7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 C41 C74 C93 F23 F41 F74 F93 I23 I41 I74 L23 L41 L74 O23 O41 O74 R23 R41 R7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 C41 C74 C93 F23 F41 F74 F93 I23 I41 I74 L23 L41 L74 O23 O41 O74 R23 R41 R7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 C76 C95 F43 F76 F95 I43 I76 L25 L43 L76 O25 O43 O76 R25 R43 R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 C76 C95 F43 F76 F95 I43 I76 L25 L43 L76 O25 O43 O76 R25 R43 R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 I2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94:O9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4:R9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7.57"/>
    <col customWidth="1" min="3" max="3" width="46.86"/>
    <col customWidth="1" min="4" max="4" width="7.86"/>
    <col customWidth="1" min="5" max="53" width="8.86"/>
    <col customWidth="1" min="54" max="54" width="12.86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60"/>
    </row>
    <row r="2">
      <c r="A2" s="59"/>
      <c r="B2" s="61" t="s">
        <v>40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17"/>
      <c r="BB2" s="60"/>
    </row>
    <row r="3">
      <c r="A3" s="63"/>
      <c r="B3" s="64" t="s">
        <v>41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26"/>
      <c r="BB3" s="60"/>
    </row>
    <row r="4">
      <c r="B4" s="66"/>
      <c r="C4" s="67"/>
      <c r="D4" s="67"/>
      <c r="E4" s="68" t="s">
        <v>42</v>
      </c>
      <c r="F4" s="69"/>
      <c r="G4" s="69"/>
      <c r="H4" s="69"/>
      <c r="I4" s="69"/>
      <c r="J4" s="69"/>
      <c r="K4" s="70"/>
      <c r="L4" s="71" t="s">
        <v>43</v>
      </c>
      <c r="M4" s="72" t="s">
        <v>44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3"/>
      <c r="AF4" s="71" t="s">
        <v>45</v>
      </c>
      <c r="AG4" s="74" t="s">
        <v>46</v>
      </c>
      <c r="AH4" s="75" t="s">
        <v>47</v>
      </c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17"/>
      <c r="BB4" s="60"/>
    </row>
    <row r="5">
      <c r="B5" s="76"/>
      <c r="E5" s="77">
        <v>1.0</v>
      </c>
      <c r="F5" s="78">
        <v>2.0</v>
      </c>
      <c r="G5" s="78">
        <v>3.0</v>
      </c>
      <c r="H5" s="78">
        <v>4.0</v>
      </c>
      <c r="I5" s="78">
        <v>5.0</v>
      </c>
      <c r="J5" s="78">
        <v>6.0</v>
      </c>
      <c r="K5" s="79" t="s">
        <v>48</v>
      </c>
      <c r="L5" s="80"/>
      <c r="M5" s="81">
        <v>1.0</v>
      </c>
      <c r="N5" s="81">
        <v>2.0</v>
      </c>
      <c r="O5" s="81">
        <v>3.0</v>
      </c>
      <c r="P5" s="81">
        <v>4.0</v>
      </c>
      <c r="Q5" s="81">
        <v>5.0</v>
      </c>
      <c r="R5" s="81">
        <v>6.0</v>
      </c>
      <c r="S5" s="81">
        <v>7.0</v>
      </c>
      <c r="T5" s="81">
        <v>8.0</v>
      </c>
      <c r="U5" s="81">
        <v>9.0</v>
      </c>
      <c r="V5" s="81">
        <v>10.0</v>
      </c>
      <c r="W5" s="81">
        <v>11.0</v>
      </c>
      <c r="X5" s="81">
        <v>12.0</v>
      </c>
      <c r="Y5" s="81">
        <v>13.0</v>
      </c>
      <c r="Z5" s="81">
        <v>14.0</v>
      </c>
      <c r="AA5" s="81">
        <v>15.0</v>
      </c>
      <c r="AB5" s="78"/>
      <c r="AC5" s="78"/>
      <c r="AD5" s="78"/>
      <c r="AE5" s="78"/>
      <c r="AF5" s="80"/>
      <c r="AG5" s="82"/>
      <c r="AH5" s="83">
        <v>16.0</v>
      </c>
      <c r="AI5" s="83">
        <v>17.0</v>
      </c>
      <c r="AJ5" s="83">
        <v>18.0</v>
      </c>
      <c r="AK5" s="83">
        <v>19.0</v>
      </c>
      <c r="AL5" s="83">
        <v>20.0</v>
      </c>
      <c r="AM5" s="83">
        <v>21.0</v>
      </c>
      <c r="AN5" s="83">
        <v>22.0</v>
      </c>
      <c r="AO5" s="83">
        <v>23.0</v>
      </c>
      <c r="AP5" s="83">
        <v>24.0</v>
      </c>
      <c r="AQ5" s="83">
        <v>25.0</v>
      </c>
      <c r="AR5" s="83">
        <v>26.0</v>
      </c>
      <c r="AS5" s="83">
        <v>27.0</v>
      </c>
      <c r="AT5" s="83">
        <v>28.0</v>
      </c>
      <c r="AU5" s="83">
        <v>29.0</v>
      </c>
      <c r="AV5" s="83">
        <v>30.0</v>
      </c>
      <c r="AW5" s="84"/>
      <c r="AX5" s="84"/>
      <c r="AY5" s="84"/>
      <c r="AZ5" s="84"/>
      <c r="BA5" s="84"/>
      <c r="BB5" s="60"/>
    </row>
    <row r="6">
      <c r="B6" s="76"/>
      <c r="E6" s="85" t="s">
        <v>49</v>
      </c>
      <c r="F6" s="86" t="s">
        <v>50</v>
      </c>
      <c r="G6" s="86" t="s">
        <v>49</v>
      </c>
      <c r="H6" s="86" t="s">
        <v>50</v>
      </c>
      <c r="I6" s="86" t="s">
        <v>50</v>
      </c>
      <c r="J6" s="86" t="s">
        <v>49</v>
      </c>
      <c r="K6" s="87"/>
      <c r="L6" s="80"/>
      <c r="M6" s="88" t="s">
        <v>49</v>
      </c>
      <c r="N6" s="89" t="s">
        <v>50</v>
      </c>
      <c r="O6" s="88" t="s">
        <v>49</v>
      </c>
      <c r="P6" s="89" t="s">
        <v>50</v>
      </c>
      <c r="Q6" s="88" t="s">
        <v>49</v>
      </c>
      <c r="R6" s="89" t="s">
        <v>50</v>
      </c>
      <c r="S6" s="88" t="s">
        <v>49</v>
      </c>
      <c r="T6" s="89" t="s">
        <v>50</v>
      </c>
      <c r="U6" s="88" t="s">
        <v>49</v>
      </c>
      <c r="V6" s="89" t="s">
        <v>50</v>
      </c>
      <c r="W6" s="88" t="s">
        <v>49</v>
      </c>
      <c r="X6" s="89" t="s">
        <v>50</v>
      </c>
      <c r="Y6" s="88" t="s">
        <v>49</v>
      </c>
      <c r="Z6" s="89" t="s">
        <v>50</v>
      </c>
      <c r="AA6" s="88" t="s">
        <v>49</v>
      </c>
      <c r="AB6" s="90"/>
      <c r="AC6" s="90"/>
      <c r="AD6" s="90"/>
      <c r="AE6" s="90"/>
      <c r="AF6" s="80"/>
      <c r="AG6" s="82"/>
      <c r="AH6" s="88" t="s">
        <v>50</v>
      </c>
      <c r="AI6" s="89" t="s">
        <v>49</v>
      </c>
      <c r="AJ6" s="88" t="s">
        <v>50</v>
      </c>
      <c r="AK6" s="89" t="s">
        <v>49</v>
      </c>
      <c r="AL6" s="88" t="s">
        <v>50</v>
      </c>
      <c r="AM6" s="89" t="s">
        <v>49</v>
      </c>
      <c r="AN6" s="88" t="s">
        <v>50</v>
      </c>
      <c r="AO6" s="89" t="s">
        <v>49</v>
      </c>
      <c r="AP6" s="88" t="s">
        <v>50</v>
      </c>
      <c r="AQ6" s="89" t="s">
        <v>49</v>
      </c>
      <c r="AR6" s="88" t="s">
        <v>50</v>
      </c>
      <c r="AS6" s="89" t="s">
        <v>49</v>
      </c>
      <c r="AT6" s="88" t="s">
        <v>50</v>
      </c>
      <c r="AU6" s="89" t="s">
        <v>49</v>
      </c>
      <c r="AV6" s="88" t="s">
        <v>50</v>
      </c>
      <c r="AW6" s="90"/>
      <c r="AX6" s="90"/>
      <c r="AY6" s="90"/>
      <c r="AZ6" s="90"/>
      <c r="BA6" s="90"/>
      <c r="BB6" s="60"/>
    </row>
    <row r="7" ht="319.5" customHeight="1">
      <c r="B7" s="76"/>
      <c r="E7" s="91"/>
      <c r="F7" s="92"/>
      <c r="G7" s="93"/>
      <c r="H7" s="93"/>
      <c r="I7" s="93"/>
      <c r="J7" s="93"/>
      <c r="K7" s="94" t="s">
        <v>46</v>
      </c>
      <c r="L7" s="95"/>
      <c r="M7" s="96" t="s">
        <v>51</v>
      </c>
      <c r="N7" s="97" t="s">
        <v>52</v>
      </c>
      <c r="O7" s="96" t="s">
        <v>53</v>
      </c>
      <c r="P7" s="97" t="s">
        <v>54</v>
      </c>
      <c r="Q7" s="96" t="s">
        <v>55</v>
      </c>
      <c r="R7" s="97" t="s">
        <v>56</v>
      </c>
      <c r="S7" s="96" t="s">
        <v>57</v>
      </c>
      <c r="T7" s="97" t="s">
        <v>58</v>
      </c>
      <c r="U7" s="96" t="s">
        <v>59</v>
      </c>
      <c r="V7" s="97" t="s">
        <v>60</v>
      </c>
      <c r="W7" s="96" t="s">
        <v>61</v>
      </c>
      <c r="X7" s="97" t="s">
        <v>62</v>
      </c>
      <c r="Y7" s="96" t="s">
        <v>63</v>
      </c>
      <c r="Z7" s="97" t="s">
        <v>64</v>
      </c>
      <c r="AA7" s="96" t="s">
        <v>65</v>
      </c>
      <c r="AB7" s="93"/>
      <c r="AC7" s="93"/>
      <c r="AD7" s="93"/>
      <c r="AE7" s="93"/>
      <c r="AF7" s="95"/>
      <c r="AG7" s="98"/>
      <c r="AH7" s="96" t="s">
        <v>51</v>
      </c>
      <c r="AI7" s="97" t="s">
        <v>52</v>
      </c>
      <c r="AJ7" s="96" t="s">
        <v>53</v>
      </c>
      <c r="AK7" s="97" t="s">
        <v>54</v>
      </c>
      <c r="AL7" s="96" t="s">
        <v>55</v>
      </c>
      <c r="AM7" s="97" t="s">
        <v>56</v>
      </c>
      <c r="AN7" s="96" t="s">
        <v>57</v>
      </c>
      <c r="AO7" s="97" t="s">
        <v>58</v>
      </c>
      <c r="AP7" s="96" t="s">
        <v>59</v>
      </c>
      <c r="AQ7" s="97" t="s">
        <v>60</v>
      </c>
      <c r="AR7" s="96" t="s">
        <v>61</v>
      </c>
      <c r="AS7" s="97" t="s">
        <v>62</v>
      </c>
      <c r="AT7" s="96" t="s">
        <v>63</v>
      </c>
      <c r="AU7" s="97" t="s">
        <v>64</v>
      </c>
      <c r="AV7" s="96" t="s">
        <v>65</v>
      </c>
      <c r="AW7" s="93"/>
      <c r="AX7" s="93"/>
      <c r="AY7" s="93"/>
      <c r="AZ7" s="93"/>
      <c r="BA7" s="99" t="s">
        <v>66</v>
      </c>
    </row>
    <row r="8">
      <c r="B8" s="76"/>
      <c r="E8" s="100"/>
      <c r="F8" s="101"/>
      <c r="G8" s="101"/>
      <c r="H8" s="101"/>
      <c r="I8" s="101"/>
      <c r="J8" s="101"/>
      <c r="K8" s="101"/>
      <c r="L8" s="101"/>
      <c r="M8" s="102">
        <v>17.0</v>
      </c>
      <c r="N8" s="102">
        <v>24.0</v>
      </c>
      <c r="O8" s="102">
        <v>1.0</v>
      </c>
      <c r="P8" s="102">
        <v>8.0</v>
      </c>
      <c r="Q8" s="102">
        <v>15.0</v>
      </c>
      <c r="R8" s="102">
        <v>22.0</v>
      </c>
      <c r="S8" s="102">
        <v>29.0</v>
      </c>
      <c r="T8" s="102">
        <v>5.0</v>
      </c>
      <c r="U8" s="102">
        <v>12.0</v>
      </c>
      <c r="V8" s="102">
        <v>19.0</v>
      </c>
      <c r="W8" s="102">
        <v>26.0</v>
      </c>
      <c r="X8" s="102">
        <v>3.0</v>
      </c>
      <c r="Y8" s="102">
        <v>10.0</v>
      </c>
      <c r="Z8" s="102">
        <v>17.0</v>
      </c>
      <c r="AA8" s="102">
        <v>24.0</v>
      </c>
      <c r="AB8" s="103"/>
      <c r="AC8" s="103"/>
      <c r="AD8" s="103"/>
      <c r="AE8" s="103"/>
      <c r="AF8" s="103"/>
      <c r="AG8" s="103"/>
      <c r="AH8" s="104">
        <v>29.0</v>
      </c>
      <c r="AI8" s="102">
        <v>7.0</v>
      </c>
      <c r="AJ8" s="102">
        <v>14.0</v>
      </c>
      <c r="AK8" s="102">
        <v>21.0</v>
      </c>
      <c r="AL8" s="102">
        <v>28.0</v>
      </c>
      <c r="AM8" s="102">
        <v>4.0</v>
      </c>
      <c r="AN8" s="102">
        <v>11.0</v>
      </c>
      <c r="AO8" s="102">
        <v>18.0</v>
      </c>
      <c r="AP8" s="102">
        <v>25.0</v>
      </c>
      <c r="AQ8" s="102">
        <v>4.0</v>
      </c>
      <c r="AR8" s="102">
        <v>11.0</v>
      </c>
      <c r="AS8" s="102">
        <v>25.0</v>
      </c>
      <c r="AT8" s="102">
        <v>1.0</v>
      </c>
      <c r="AU8" s="102">
        <v>8.0</v>
      </c>
      <c r="AV8" s="102">
        <v>15.0</v>
      </c>
      <c r="AW8" s="101"/>
      <c r="AX8" s="101"/>
      <c r="AY8" s="101"/>
      <c r="AZ8" s="101"/>
      <c r="BA8" s="101"/>
      <c r="BB8" s="60"/>
    </row>
    <row r="9">
      <c r="B9" s="105"/>
      <c r="C9" s="106"/>
      <c r="D9" s="106"/>
      <c r="E9" s="107"/>
      <c r="F9" s="69"/>
      <c r="G9" s="69"/>
      <c r="H9" s="70"/>
      <c r="I9" s="107"/>
      <c r="J9" s="69"/>
      <c r="K9" s="69"/>
      <c r="L9" s="73"/>
      <c r="M9" s="108" t="s">
        <v>67</v>
      </c>
      <c r="N9" s="109"/>
      <c r="O9" s="108" t="s">
        <v>68</v>
      </c>
      <c r="P9" s="110"/>
      <c r="Q9" s="110"/>
      <c r="R9" s="110"/>
      <c r="S9" s="109"/>
      <c r="T9" s="108" t="s">
        <v>69</v>
      </c>
      <c r="U9" s="110"/>
      <c r="V9" s="110"/>
      <c r="W9" s="109"/>
      <c r="X9" s="111" t="s">
        <v>70</v>
      </c>
      <c r="Y9" s="110"/>
      <c r="Z9" s="110"/>
      <c r="AA9" s="110"/>
      <c r="AB9" s="110"/>
      <c r="AC9" s="110"/>
      <c r="AD9" s="110"/>
      <c r="AE9" s="110"/>
      <c r="AF9" s="110"/>
      <c r="AG9" s="110"/>
      <c r="AH9" s="109"/>
      <c r="AI9" s="108" t="s">
        <v>71</v>
      </c>
      <c r="AJ9" s="110"/>
      <c r="AK9" s="110"/>
      <c r="AL9" s="109"/>
      <c r="AM9" s="108" t="s">
        <v>72</v>
      </c>
      <c r="AN9" s="110"/>
      <c r="AO9" s="110"/>
      <c r="AP9" s="109"/>
      <c r="AQ9" s="108" t="s">
        <v>73</v>
      </c>
      <c r="AR9" s="110"/>
      <c r="AS9" s="109"/>
      <c r="AT9" s="108" t="s">
        <v>74</v>
      </c>
      <c r="AU9" s="110"/>
      <c r="AV9" s="109"/>
      <c r="AW9" s="112"/>
      <c r="AX9" s="112"/>
      <c r="AY9" s="112"/>
      <c r="AZ9" s="112"/>
      <c r="BA9" s="113"/>
      <c r="BB9" s="114"/>
    </row>
    <row r="10" ht="27.0" customHeight="1">
      <c r="A10" s="115"/>
      <c r="B10" s="116">
        <v>1.0</v>
      </c>
      <c r="C10" s="117" t="s">
        <v>7</v>
      </c>
      <c r="D10" s="118"/>
      <c r="E10" s="119"/>
      <c r="F10" s="119"/>
      <c r="G10" s="119"/>
      <c r="H10" s="119"/>
      <c r="I10" s="119"/>
      <c r="J10" s="119"/>
      <c r="K10" s="120">
        <f t="shared" ref="K10:K41" si="1">SUM(E10:J10)</f>
        <v>0</v>
      </c>
      <c r="L10" s="121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3" t="s">
        <v>75</v>
      </c>
      <c r="AB10" s="119"/>
      <c r="AC10" s="119"/>
      <c r="AD10" s="119"/>
      <c r="AE10" s="119"/>
      <c r="AF10" s="121"/>
      <c r="AG10" s="124">
        <f t="shared" ref="AG10:AG39" si="2">SUM(M10:AF10)</f>
        <v>0</v>
      </c>
      <c r="AH10" s="123" t="s">
        <v>75</v>
      </c>
      <c r="AI10" s="123" t="s">
        <v>75</v>
      </c>
      <c r="AJ10" s="125">
        <v>90.0</v>
      </c>
      <c r="AK10" s="125">
        <v>90.0</v>
      </c>
      <c r="AL10" s="125">
        <v>90.0</v>
      </c>
      <c r="AM10" s="123" t="s">
        <v>75</v>
      </c>
      <c r="AN10" s="122"/>
      <c r="AO10" s="122"/>
      <c r="AP10" s="122"/>
      <c r="AQ10" s="122"/>
      <c r="AR10" s="122"/>
      <c r="AS10" s="122"/>
      <c r="AT10" s="122"/>
      <c r="AU10" s="122"/>
      <c r="AV10" s="122"/>
      <c r="AW10" s="119"/>
      <c r="AX10" s="119"/>
      <c r="AY10" s="119"/>
      <c r="AZ10" s="119"/>
      <c r="BA10" s="126"/>
      <c r="BB10" s="124">
        <f t="shared" ref="BB10:BB39" si="3">SUM(M10:AF10,AH10:BA10)</f>
        <v>270</v>
      </c>
    </row>
    <row r="11">
      <c r="A11" s="115"/>
      <c r="B11" s="127">
        <v>2.0</v>
      </c>
      <c r="C11" s="128" t="s">
        <v>8</v>
      </c>
      <c r="D11" s="118"/>
      <c r="E11" s="119"/>
      <c r="F11" s="119"/>
      <c r="G11" s="119"/>
      <c r="H11" s="119"/>
      <c r="I11" s="119"/>
      <c r="J11" s="119"/>
      <c r="K11" s="120">
        <f t="shared" si="1"/>
        <v>0</v>
      </c>
      <c r="L11" s="121"/>
      <c r="M11" s="123" t="s">
        <v>75</v>
      </c>
      <c r="N11" s="125">
        <v>90.0</v>
      </c>
      <c r="O11" s="125">
        <v>90.0</v>
      </c>
      <c r="P11" s="125">
        <v>90.0</v>
      </c>
      <c r="Q11" s="123" t="s">
        <v>75</v>
      </c>
      <c r="R11" s="125">
        <v>90.0</v>
      </c>
      <c r="S11" s="125">
        <v>90.0</v>
      </c>
      <c r="T11" s="129">
        <v>35.0</v>
      </c>
      <c r="U11" s="125">
        <v>90.0</v>
      </c>
      <c r="V11" s="125">
        <v>90.0</v>
      </c>
      <c r="W11" s="125">
        <v>90.0</v>
      </c>
      <c r="X11" s="125">
        <v>90.0</v>
      </c>
      <c r="Y11" s="125">
        <v>90.0</v>
      </c>
      <c r="Z11" s="125">
        <v>90.0</v>
      </c>
      <c r="AA11" s="125">
        <v>90.0</v>
      </c>
      <c r="AB11" s="119"/>
      <c r="AC11" s="119"/>
      <c r="AD11" s="119"/>
      <c r="AE11" s="119"/>
      <c r="AF11" s="121"/>
      <c r="AG11" s="124">
        <f t="shared" si="2"/>
        <v>1115</v>
      </c>
      <c r="AH11" s="125">
        <v>90.0</v>
      </c>
      <c r="AI11" s="125">
        <v>90.0</v>
      </c>
      <c r="AJ11" s="130" t="s">
        <v>76</v>
      </c>
      <c r="AK11" s="123" t="s">
        <v>75</v>
      </c>
      <c r="AL11" s="123" t="s">
        <v>75</v>
      </c>
      <c r="AM11" s="125">
        <v>90.0</v>
      </c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21"/>
      <c r="BB11" s="124">
        <f t="shared" si="3"/>
        <v>1385</v>
      </c>
    </row>
    <row r="12">
      <c r="A12" s="115"/>
      <c r="B12" s="116">
        <v>3.0</v>
      </c>
      <c r="C12" s="131" t="s">
        <v>9</v>
      </c>
      <c r="D12" s="118"/>
      <c r="E12" s="119"/>
      <c r="F12" s="119"/>
      <c r="G12" s="119"/>
      <c r="H12" s="119"/>
      <c r="I12" s="119"/>
      <c r="J12" s="119"/>
      <c r="K12" s="132">
        <f t="shared" si="1"/>
        <v>0</v>
      </c>
      <c r="L12" s="121"/>
      <c r="M12" s="133" t="s">
        <v>77</v>
      </c>
      <c r="N12" s="133" t="s">
        <v>77</v>
      </c>
      <c r="O12" s="133" t="s">
        <v>77</v>
      </c>
      <c r="P12" s="133" t="s">
        <v>77</v>
      </c>
      <c r="Q12" s="133" t="s">
        <v>77</v>
      </c>
      <c r="R12" s="133" t="s">
        <v>77</v>
      </c>
      <c r="S12" s="134">
        <v>45.0</v>
      </c>
      <c r="T12" s="135">
        <v>90.0</v>
      </c>
      <c r="U12" s="135">
        <v>90.0</v>
      </c>
      <c r="V12" s="133" t="s">
        <v>77</v>
      </c>
      <c r="W12" s="129">
        <v>45.0</v>
      </c>
      <c r="X12" s="135">
        <v>90.0</v>
      </c>
      <c r="Y12" s="135">
        <v>90.0</v>
      </c>
      <c r="Z12" s="136">
        <v>75.0</v>
      </c>
      <c r="AA12" s="135">
        <v>90.0</v>
      </c>
      <c r="AB12" s="119"/>
      <c r="AC12" s="119"/>
      <c r="AD12" s="119"/>
      <c r="AE12" s="119"/>
      <c r="AF12" s="121"/>
      <c r="AG12" s="124">
        <f t="shared" si="2"/>
        <v>615</v>
      </c>
      <c r="AH12" s="125">
        <v>45.0</v>
      </c>
      <c r="AI12" s="125">
        <v>90.0</v>
      </c>
      <c r="AJ12" s="125">
        <v>90.0</v>
      </c>
      <c r="AK12" s="125">
        <v>90.0</v>
      </c>
      <c r="AL12" s="125">
        <v>90.0</v>
      </c>
      <c r="AM12" s="125">
        <v>90.0</v>
      </c>
      <c r="AN12" s="122"/>
      <c r="AO12" s="122"/>
      <c r="AP12" s="122"/>
      <c r="AQ12" s="122"/>
      <c r="AR12" s="122"/>
      <c r="AS12" s="122"/>
      <c r="AT12" s="122"/>
      <c r="AU12" s="122"/>
      <c r="AV12" s="122"/>
      <c r="AW12" s="119"/>
      <c r="AX12" s="119"/>
      <c r="AY12" s="119"/>
      <c r="AZ12" s="119"/>
      <c r="BA12" s="121"/>
      <c r="BB12" s="124">
        <f t="shared" si="3"/>
        <v>1110</v>
      </c>
    </row>
    <row r="13">
      <c r="A13" s="115"/>
      <c r="B13" s="127">
        <v>4.0</v>
      </c>
      <c r="C13" s="137" t="s">
        <v>10</v>
      </c>
      <c r="D13" s="118"/>
      <c r="E13" s="119"/>
      <c r="F13" s="119"/>
      <c r="G13" s="119"/>
      <c r="H13" s="119"/>
      <c r="I13" s="119"/>
      <c r="J13" s="119"/>
      <c r="K13" s="120">
        <f t="shared" si="1"/>
        <v>0</v>
      </c>
      <c r="L13" s="121"/>
      <c r="M13" s="123" t="s">
        <v>75</v>
      </c>
      <c r="N13" s="123" t="s">
        <v>75</v>
      </c>
      <c r="O13" s="123" t="s">
        <v>75</v>
      </c>
      <c r="P13" s="123" t="s">
        <v>75</v>
      </c>
      <c r="Q13" s="125">
        <v>90.0</v>
      </c>
      <c r="R13" s="125">
        <v>45.0</v>
      </c>
      <c r="S13" s="130" t="s">
        <v>76</v>
      </c>
      <c r="T13" s="130" t="s">
        <v>76</v>
      </c>
      <c r="U13" s="130" t="s">
        <v>76</v>
      </c>
      <c r="V13" s="130" t="s">
        <v>76</v>
      </c>
      <c r="W13" s="130" t="s">
        <v>76</v>
      </c>
      <c r="X13" s="130" t="s">
        <v>76</v>
      </c>
      <c r="Y13" s="130" t="s">
        <v>76</v>
      </c>
      <c r="Z13" s="130" t="s">
        <v>76</v>
      </c>
      <c r="AA13" s="130" t="s">
        <v>76</v>
      </c>
      <c r="AB13" s="119"/>
      <c r="AC13" s="119"/>
      <c r="AD13" s="119"/>
      <c r="AE13" s="119"/>
      <c r="AF13" s="121"/>
      <c r="AG13" s="124">
        <f t="shared" si="2"/>
        <v>135</v>
      </c>
      <c r="AH13" s="130" t="s">
        <v>76</v>
      </c>
      <c r="AI13" s="130" t="s">
        <v>76</v>
      </c>
      <c r="AJ13" s="130" t="s">
        <v>76</v>
      </c>
      <c r="AK13" s="130" t="s">
        <v>76</v>
      </c>
      <c r="AL13" s="130" t="s">
        <v>76</v>
      </c>
      <c r="AM13" s="130" t="s">
        <v>76</v>
      </c>
      <c r="AN13" s="130" t="s">
        <v>76</v>
      </c>
      <c r="AO13" s="130" t="s">
        <v>76</v>
      </c>
      <c r="AP13" s="130" t="s">
        <v>76</v>
      </c>
      <c r="AQ13" s="130" t="s">
        <v>76</v>
      </c>
      <c r="AR13" s="130" t="s">
        <v>76</v>
      </c>
      <c r="AS13" s="130" t="s">
        <v>76</v>
      </c>
      <c r="AT13" s="130" t="s">
        <v>76</v>
      </c>
      <c r="AU13" s="130" t="s">
        <v>76</v>
      </c>
      <c r="AV13" s="130" t="s">
        <v>76</v>
      </c>
      <c r="AW13" s="119"/>
      <c r="AX13" s="119"/>
      <c r="AY13" s="119"/>
      <c r="AZ13" s="119"/>
      <c r="BA13" s="121"/>
      <c r="BB13" s="124">
        <f t="shared" si="3"/>
        <v>135</v>
      </c>
    </row>
    <row r="14">
      <c r="A14" s="115"/>
      <c r="B14" s="116">
        <v>5.0</v>
      </c>
      <c r="C14" s="138" t="s">
        <v>78</v>
      </c>
      <c r="D14" s="118"/>
      <c r="E14" s="119"/>
      <c r="F14" s="119"/>
      <c r="G14" s="119"/>
      <c r="H14" s="119"/>
      <c r="I14" s="119"/>
      <c r="J14" s="119"/>
      <c r="K14" s="120">
        <f t="shared" si="1"/>
        <v>0</v>
      </c>
      <c r="L14" s="121"/>
      <c r="M14" s="125">
        <v>90.0</v>
      </c>
      <c r="N14" s="133" t="s">
        <v>77</v>
      </c>
      <c r="O14" s="135">
        <v>90.0</v>
      </c>
      <c r="P14" s="135">
        <v>90.0</v>
      </c>
      <c r="Q14" s="139" t="s">
        <v>75</v>
      </c>
      <c r="R14" s="139" t="s">
        <v>75</v>
      </c>
      <c r="S14" s="135">
        <v>90.0</v>
      </c>
      <c r="T14" s="135">
        <v>90.0</v>
      </c>
      <c r="U14" s="135">
        <v>90.0</v>
      </c>
      <c r="V14" s="135">
        <v>90.0</v>
      </c>
      <c r="W14" s="135">
        <v>90.0</v>
      </c>
      <c r="X14" s="135">
        <v>50.0</v>
      </c>
      <c r="Y14" s="135">
        <v>90.0</v>
      </c>
      <c r="Z14" s="135">
        <v>90.0</v>
      </c>
      <c r="AA14" s="135">
        <v>90.0</v>
      </c>
      <c r="AB14" s="119"/>
      <c r="AC14" s="119"/>
      <c r="AD14" s="119"/>
      <c r="AE14" s="119"/>
      <c r="AF14" s="121"/>
      <c r="AG14" s="124">
        <f t="shared" si="2"/>
        <v>1040</v>
      </c>
      <c r="AH14" s="135">
        <v>90.0</v>
      </c>
      <c r="AI14" s="125">
        <v>90.0</v>
      </c>
      <c r="AJ14" s="125">
        <v>90.0</v>
      </c>
      <c r="AK14" s="140" t="s">
        <v>79</v>
      </c>
      <c r="AL14" s="125">
        <v>90.0</v>
      </c>
      <c r="AM14" s="125">
        <v>90.0</v>
      </c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21"/>
      <c r="BB14" s="124">
        <f t="shared" si="3"/>
        <v>1490</v>
      </c>
    </row>
    <row r="15">
      <c r="A15" s="115"/>
      <c r="B15" s="127">
        <v>6.0</v>
      </c>
      <c r="C15" s="128" t="s">
        <v>11</v>
      </c>
      <c r="D15" s="118"/>
      <c r="E15" s="119"/>
      <c r="F15" s="119"/>
      <c r="G15" s="119"/>
      <c r="H15" s="119"/>
      <c r="I15" s="119"/>
      <c r="J15" s="119"/>
      <c r="K15" s="120">
        <f t="shared" si="1"/>
        <v>0</v>
      </c>
      <c r="L15" s="121"/>
      <c r="M15" s="133" t="s">
        <v>77</v>
      </c>
      <c r="N15" s="133" t="s">
        <v>77</v>
      </c>
      <c r="O15" s="125">
        <v>80.0</v>
      </c>
      <c r="P15" s="125">
        <v>45.0</v>
      </c>
      <c r="Q15" s="125">
        <v>90.0</v>
      </c>
      <c r="R15" s="125">
        <v>78.0</v>
      </c>
      <c r="S15" s="123" t="s">
        <v>75</v>
      </c>
      <c r="T15" s="123" t="s">
        <v>75</v>
      </c>
      <c r="U15" s="123" t="s">
        <v>75</v>
      </c>
      <c r="V15" s="125">
        <v>90.0</v>
      </c>
      <c r="W15" s="125">
        <v>90.0</v>
      </c>
      <c r="X15" s="125">
        <v>90.0</v>
      </c>
      <c r="Y15" s="125">
        <v>90.0</v>
      </c>
      <c r="Z15" s="125">
        <v>90.0</v>
      </c>
      <c r="AA15" s="125">
        <v>90.0</v>
      </c>
      <c r="AB15" s="119"/>
      <c r="AC15" s="119"/>
      <c r="AD15" s="119"/>
      <c r="AE15" s="119"/>
      <c r="AF15" s="121"/>
      <c r="AG15" s="124">
        <f t="shared" si="2"/>
        <v>833</v>
      </c>
      <c r="AH15" s="141">
        <v>87.0</v>
      </c>
      <c r="AI15" s="125">
        <v>90.0</v>
      </c>
      <c r="AJ15" s="125">
        <v>90.0</v>
      </c>
      <c r="AK15" s="125">
        <v>90.0</v>
      </c>
      <c r="AL15" s="125">
        <v>90.0</v>
      </c>
      <c r="AM15" s="140" t="s">
        <v>79</v>
      </c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21"/>
      <c r="BB15" s="124">
        <f t="shared" si="3"/>
        <v>1280</v>
      </c>
    </row>
    <row r="16">
      <c r="A16" s="115"/>
      <c r="B16" s="116">
        <v>7.0</v>
      </c>
      <c r="C16" s="128" t="s">
        <v>12</v>
      </c>
      <c r="D16" s="118"/>
      <c r="E16" s="119"/>
      <c r="F16" s="119"/>
      <c r="G16" s="119"/>
      <c r="H16" s="119"/>
      <c r="I16" s="119"/>
      <c r="J16" s="119"/>
      <c r="K16" s="120">
        <f t="shared" si="1"/>
        <v>0</v>
      </c>
      <c r="L16" s="121"/>
      <c r="M16" s="133" t="s">
        <v>77</v>
      </c>
      <c r="N16" s="133" t="s">
        <v>77</v>
      </c>
      <c r="O16" s="129">
        <v>30.0</v>
      </c>
      <c r="P16" s="125">
        <v>90.0</v>
      </c>
      <c r="Q16" s="125">
        <v>90.0</v>
      </c>
      <c r="R16" s="125">
        <v>90.0</v>
      </c>
      <c r="S16" s="125">
        <v>90.0</v>
      </c>
      <c r="T16" s="125">
        <v>90.0</v>
      </c>
      <c r="U16" s="125">
        <v>90.0</v>
      </c>
      <c r="V16" s="123" t="s">
        <v>75</v>
      </c>
      <c r="W16" s="129">
        <v>45.0</v>
      </c>
      <c r="X16" s="125">
        <v>90.0</v>
      </c>
      <c r="Y16" s="125">
        <v>90.0</v>
      </c>
      <c r="Z16" s="140" t="s">
        <v>79</v>
      </c>
      <c r="AA16" s="125">
        <v>90.0</v>
      </c>
      <c r="AB16" s="119"/>
      <c r="AC16" s="119"/>
      <c r="AD16" s="119"/>
      <c r="AE16" s="119"/>
      <c r="AF16" s="121"/>
      <c r="AG16" s="124">
        <f t="shared" si="2"/>
        <v>885</v>
      </c>
      <c r="AH16" s="135">
        <v>90.0</v>
      </c>
      <c r="AI16" s="125">
        <v>90.0</v>
      </c>
      <c r="AJ16" s="142">
        <v>65.0</v>
      </c>
      <c r="AK16" s="125">
        <v>90.0</v>
      </c>
      <c r="AL16" s="142">
        <v>45.0</v>
      </c>
      <c r="AM16" s="125">
        <v>90.0</v>
      </c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21"/>
      <c r="BB16" s="124">
        <f t="shared" si="3"/>
        <v>1355</v>
      </c>
    </row>
    <row r="17">
      <c r="A17" s="115"/>
      <c r="B17" s="127">
        <v>8.0</v>
      </c>
      <c r="C17" s="143" t="s">
        <v>80</v>
      </c>
      <c r="D17" s="118"/>
      <c r="E17" s="119"/>
      <c r="F17" s="119"/>
      <c r="G17" s="119"/>
      <c r="H17" s="119"/>
      <c r="I17" s="119"/>
      <c r="J17" s="119"/>
      <c r="K17" s="120">
        <f t="shared" si="1"/>
        <v>0</v>
      </c>
      <c r="L17" s="121"/>
      <c r="M17" s="123" t="s">
        <v>75</v>
      </c>
      <c r="N17" s="125">
        <v>90.0</v>
      </c>
      <c r="O17" s="133" t="s">
        <v>77</v>
      </c>
      <c r="P17" s="133" t="s">
        <v>77</v>
      </c>
      <c r="Q17" s="133" t="s">
        <v>77</v>
      </c>
      <c r="R17" s="133" t="s">
        <v>77</v>
      </c>
      <c r="S17" s="123" t="s">
        <v>75</v>
      </c>
      <c r="T17" s="123" t="s">
        <v>75</v>
      </c>
      <c r="U17" s="123" t="s">
        <v>75</v>
      </c>
      <c r="V17" s="123" t="s">
        <v>75</v>
      </c>
      <c r="W17" s="123" t="s">
        <v>75</v>
      </c>
      <c r="X17" s="130" t="s">
        <v>76</v>
      </c>
      <c r="Y17" s="130" t="s">
        <v>76</v>
      </c>
      <c r="Z17" s="130" t="s">
        <v>76</v>
      </c>
      <c r="AA17" s="130" t="s">
        <v>76</v>
      </c>
      <c r="AB17" s="119"/>
      <c r="AC17" s="119"/>
      <c r="AD17" s="119"/>
      <c r="AE17" s="119"/>
      <c r="AF17" s="121"/>
      <c r="AG17" s="124">
        <f t="shared" si="2"/>
        <v>90</v>
      </c>
      <c r="AH17" s="130" t="s">
        <v>76</v>
      </c>
      <c r="AI17" s="130" t="s">
        <v>76</v>
      </c>
      <c r="AJ17" s="130" t="s">
        <v>76</v>
      </c>
      <c r="AK17" s="130" t="s">
        <v>76</v>
      </c>
      <c r="AL17" s="130" t="s">
        <v>76</v>
      </c>
      <c r="AM17" s="130" t="s">
        <v>76</v>
      </c>
      <c r="AN17" s="130" t="s">
        <v>76</v>
      </c>
      <c r="AO17" s="130" t="s">
        <v>76</v>
      </c>
      <c r="AP17" s="130" t="s">
        <v>76</v>
      </c>
      <c r="AQ17" s="130" t="s">
        <v>76</v>
      </c>
      <c r="AR17" s="130" t="s">
        <v>76</v>
      </c>
      <c r="AS17" s="130" t="s">
        <v>76</v>
      </c>
      <c r="AT17" s="130" t="s">
        <v>76</v>
      </c>
      <c r="AU17" s="130" t="s">
        <v>76</v>
      </c>
      <c r="AV17" s="130" t="s">
        <v>76</v>
      </c>
      <c r="AW17" s="119"/>
      <c r="AX17" s="119"/>
      <c r="AY17" s="119"/>
      <c r="AZ17" s="119"/>
      <c r="BA17" s="121"/>
      <c r="BB17" s="124">
        <f t="shared" si="3"/>
        <v>90</v>
      </c>
    </row>
    <row r="18">
      <c r="A18" s="115"/>
      <c r="B18" s="116">
        <v>9.0</v>
      </c>
      <c r="C18" s="143" t="s">
        <v>81</v>
      </c>
      <c r="D18" s="118"/>
      <c r="E18" s="119"/>
      <c r="F18" s="119"/>
      <c r="G18" s="119"/>
      <c r="H18" s="119"/>
      <c r="I18" s="119"/>
      <c r="J18" s="119"/>
      <c r="K18" s="120">
        <f t="shared" si="1"/>
        <v>0</v>
      </c>
      <c r="L18" s="121"/>
      <c r="M18" s="125">
        <v>90.0</v>
      </c>
      <c r="N18" s="125">
        <v>61.0</v>
      </c>
      <c r="O18" s="123" t="s">
        <v>75</v>
      </c>
      <c r="P18" s="133" t="s">
        <v>77</v>
      </c>
      <c r="Q18" s="123" t="s">
        <v>75</v>
      </c>
      <c r="R18" s="125">
        <v>90.0</v>
      </c>
      <c r="S18" s="144">
        <v>45.0</v>
      </c>
      <c r="T18" s="125">
        <v>65.0</v>
      </c>
      <c r="U18" s="125">
        <v>90.0</v>
      </c>
      <c r="V18" s="123" t="s">
        <v>75</v>
      </c>
      <c r="W18" s="144">
        <v>45.0</v>
      </c>
      <c r="X18" s="123" t="s">
        <v>75</v>
      </c>
      <c r="Y18" s="123" t="s">
        <v>75</v>
      </c>
      <c r="Z18" s="145">
        <v>5.0</v>
      </c>
      <c r="AA18" s="123" t="s">
        <v>75</v>
      </c>
      <c r="AB18" s="119"/>
      <c r="AC18" s="119"/>
      <c r="AD18" s="119"/>
      <c r="AE18" s="119"/>
      <c r="AF18" s="121"/>
      <c r="AG18" s="124">
        <f t="shared" si="2"/>
        <v>491</v>
      </c>
      <c r="AH18" s="141">
        <v>5.0</v>
      </c>
      <c r="AI18" s="123" t="s">
        <v>75</v>
      </c>
      <c r="AJ18" s="134">
        <v>25.0</v>
      </c>
      <c r="AK18" s="125">
        <v>45.0</v>
      </c>
      <c r="AL18" s="133" t="s">
        <v>77</v>
      </c>
      <c r="AM18" s="133" t="s">
        <v>77</v>
      </c>
      <c r="AN18" s="133" t="s">
        <v>77</v>
      </c>
      <c r="AO18" s="133" t="s">
        <v>77</v>
      </c>
      <c r="AP18" s="133" t="s">
        <v>77</v>
      </c>
      <c r="AQ18" s="133" t="s">
        <v>77</v>
      </c>
      <c r="AR18" s="133" t="s">
        <v>77</v>
      </c>
      <c r="AS18" s="133" t="s">
        <v>77</v>
      </c>
      <c r="AT18" s="133" t="s">
        <v>77</v>
      </c>
      <c r="AU18" s="133" t="s">
        <v>77</v>
      </c>
      <c r="AV18" s="133" t="s">
        <v>77</v>
      </c>
      <c r="AW18" s="119"/>
      <c r="AX18" s="119"/>
      <c r="AY18" s="119"/>
      <c r="AZ18" s="119"/>
      <c r="BA18" s="121"/>
      <c r="BB18" s="124">
        <f t="shared" si="3"/>
        <v>566</v>
      </c>
    </row>
    <row r="19">
      <c r="A19" s="115"/>
      <c r="B19" s="127">
        <v>10.0</v>
      </c>
      <c r="C19" s="128" t="s">
        <v>27</v>
      </c>
      <c r="D19" s="118"/>
      <c r="E19" s="119"/>
      <c r="F19" s="119"/>
      <c r="G19" s="119"/>
      <c r="H19" s="119"/>
      <c r="I19" s="119"/>
      <c r="J19" s="119"/>
      <c r="K19" s="120">
        <f t="shared" si="1"/>
        <v>0</v>
      </c>
      <c r="L19" s="121"/>
      <c r="M19" s="125">
        <v>90.0</v>
      </c>
      <c r="N19" s="125">
        <v>90.0</v>
      </c>
      <c r="O19" s="125">
        <v>90.0</v>
      </c>
      <c r="P19" s="125">
        <v>90.0</v>
      </c>
      <c r="Q19" s="125">
        <v>81.0</v>
      </c>
      <c r="R19" s="125">
        <v>90.0</v>
      </c>
      <c r="S19" s="144">
        <v>45.0</v>
      </c>
      <c r="T19" s="144">
        <v>45.0</v>
      </c>
      <c r="U19" s="125">
        <v>90.0</v>
      </c>
      <c r="V19" s="125">
        <v>90.0</v>
      </c>
      <c r="W19" s="125">
        <v>90.0</v>
      </c>
      <c r="X19" s="125">
        <v>60.0</v>
      </c>
      <c r="Y19" s="125">
        <v>90.0</v>
      </c>
      <c r="Z19" s="125">
        <v>90.0</v>
      </c>
      <c r="AA19" s="144">
        <v>45.0</v>
      </c>
      <c r="AB19" s="119"/>
      <c r="AC19" s="119"/>
      <c r="AD19" s="119"/>
      <c r="AE19" s="119"/>
      <c r="AF19" s="121"/>
      <c r="AG19" s="124">
        <f t="shared" si="2"/>
        <v>1176</v>
      </c>
      <c r="AH19" s="123" t="s">
        <v>75</v>
      </c>
      <c r="AI19" s="123" t="s">
        <v>75</v>
      </c>
      <c r="AJ19" s="125">
        <v>90.0</v>
      </c>
      <c r="AK19" s="125">
        <v>45.0</v>
      </c>
      <c r="AL19" s="123" t="s">
        <v>75</v>
      </c>
      <c r="AM19" s="142">
        <v>35.0</v>
      </c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21"/>
      <c r="BB19" s="124">
        <f t="shared" si="3"/>
        <v>1346</v>
      </c>
    </row>
    <row r="20">
      <c r="A20" s="115"/>
      <c r="B20" s="116">
        <v>11.0</v>
      </c>
      <c r="C20" s="128" t="s">
        <v>28</v>
      </c>
      <c r="D20" s="118"/>
      <c r="E20" s="119"/>
      <c r="F20" s="119"/>
      <c r="G20" s="119"/>
      <c r="H20" s="119"/>
      <c r="I20" s="119"/>
      <c r="J20" s="119"/>
      <c r="K20" s="120">
        <f t="shared" si="1"/>
        <v>0</v>
      </c>
      <c r="L20" s="121"/>
      <c r="M20" s="129">
        <v>16.0</v>
      </c>
      <c r="N20" s="129">
        <v>61.0</v>
      </c>
      <c r="O20" s="129">
        <v>22.0</v>
      </c>
      <c r="P20" s="123" t="s">
        <v>75</v>
      </c>
      <c r="Q20" s="129">
        <v>10.0</v>
      </c>
      <c r="R20" s="123" t="s">
        <v>75</v>
      </c>
      <c r="S20" s="125">
        <v>90.0</v>
      </c>
      <c r="T20" s="129">
        <v>45.0</v>
      </c>
      <c r="U20" s="123" t="s">
        <v>75</v>
      </c>
      <c r="V20" s="123" t="s">
        <v>75</v>
      </c>
      <c r="W20" s="123" t="s">
        <v>75</v>
      </c>
      <c r="X20" s="129">
        <v>30.0</v>
      </c>
      <c r="Y20" s="123" t="s">
        <v>75</v>
      </c>
      <c r="Z20" s="123" t="s">
        <v>75</v>
      </c>
      <c r="AA20" s="129">
        <v>45.0</v>
      </c>
      <c r="AB20" s="119"/>
      <c r="AC20" s="119"/>
      <c r="AD20" s="119"/>
      <c r="AE20" s="119"/>
      <c r="AF20" s="121"/>
      <c r="AG20" s="124">
        <f t="shared" si="2"/>
        <v>319</v>
      </c>
      <c r="AH20" s="134">
        <v>45.0</v>
      </c>
      <c r="AI20" s="125">
        <v>90.0</v>
      </c>
      <c r="AJ20" s="123" t="s">
        <v>75</v>
      </c>
      <c r="AK20" s="123" t="s">
        <v>75</v>
      </c>
      <c r="AL20" s="142">
        <v>70.0</v>
      </c>
      <c r="AM20" s="123" t="s">
        <v>75</v>
      </c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21"/>
      <c r="BB20" s="124">
        <f t="shared" si="3"/>
        <v>524</v>
      </c>
    </row>
    <row r="21">
      <c r="A21" s="115"/>
      <c r="B21" s="127">
        <v>12.0</v>
      </c>
      <c r="C21" s="128" t="s">
        <v>32</v>
      </c>
      <c r="D21" s="118"/>
      <c r="E21" s="119"/>
      <c r="F21" s="119"/>
      <c r="G21" s="119"/>
      <c r="H21" s="119"/>
      <c r="I21" s="119"/>
      <c r="J21" s="119"/>
      <c r="K21" s="120">
        <f t="shared" si="1"/>
        <v>0</v>
      </c>
      <c r="L21" s="121"/>
      <c r="M21" s="125">
        <v>45.0</v>
      </c>
      <c r="N21" s="125">
        <v>90.0</v>
      </c>
      <c r="O21" s="125">
        <v>90.0</v>
      </c>
      <c r="P21" s="129">
        <v>45.0</v>
      </c>
      <c r="Q21" s="125">
        <v>70.0</v>
      </c>
      <c r="R21" s="125">
        <v>55.0</v>
      </c>
      <c r="S21" s="125">
        <v>90.0</v>
      </c>
      <c r="T21" s="144">
        <v>45.0</v>
      </c>
      <c r="U21" s="140" t="s">
        <v>79</v>
      </c>
      <c r="V21" s="125">
        <v>90.0</v>
      </c>
      <c r="W21" s="125">
        <v>90.0</v>
      </c>
      <c r="X21" s="144">
        <v>45.0</v>
      </c>
      <c r="Y21" s="146">
        <v>86.0</v>
      </c>
      <c r="Z21" s="146">
        <v>63.0</v>
      </c>
      <c r="AA21" s="142">
        <v>75.0</v>
      </c>
      <c r="AB21" s="119"/>
      <c r="AC21" s="119"/>
      <c r="AD21" s="119"/>
      <c r="AE21" s="119"/>
      <c r="AF21" s="121"/>
      <c r="AG21" s="124">
        <f t="shared" si="2"/>
        <v>979</v>
      </c>
      <c r="AH21" s="141">
        <v>70.0</v>
      </c>
      <c r="AI21" s="142">
        <v>64.0</v>
      </c>
      <c r="AJ21" s="125">
        <v>90.0</v>
      </c>
      <c r="AK21" s="125">
        <v>90.0</v>
      </c>
      <c r="AL21" s="125">
        <v>90.0</v>
      </c>
      <c r="AM21" s="125">
        <v>90.0</v>
      </c>
      <c r="AN21" s="140" t="s">
        <v>79</v>
      </c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21"/>
      <c r="BB21" s="124">
        <f t="shared" si="3"/>
        <v>1473</v>
      </c>
    </row>
    <row r="22">
      <c r="A22" s="115"/>
      <c r="B22" s="116">
        <v>13.0</v>
      </c>
      <c r="C22" s="147" t="s">
        <v>82</v>
      </c>
      <c r="D22" s="118"/>
      <c r="E22" s="119"/>
      <c r="F22" s="119"/>
      <c r="G22" s="119"/>
      <c r="H22" s="119"/>
      <c r="I22" s="119"/>
      <c r="J22" s="119"/>
      <c r="K22" s="120">
        <f t="shared" si="1"/>
        <v>0</v>
      </c>
      <c r="L22" s="121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3" t="s">
        <v>75</v>
      </c>
      <c r="AB22" s="119"/>
      <c r="AC22" s="119"/>
      <c r="AD22" s="119"/>
      <c r="AE22" s="119"/>
      <c r="AF22" s="121"/>
      <c r="AG22" s="124">
        <f t="shared" si="2"/>
        <v>0</v>
      </c>
      <c r="AH22" s="141">
        <v>90.0</v>
      </c>
      <c r="AI22" s="123" t="s">
        <v>75</v>
      </c>
      <c r="AJ22" s="133" t="s">
        <v>77</v>
      </c>
      <c r="AK22" s="134">
        <v>45.0</v>
      </c>
      <c r="AL22" s="136">
        <v>20.0</v>
      </c>
      <c r="AM22" s="125">
        <v>90.0</v>
      </c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21"/>
      <c r="BB22" s="124">
        <f t="shared" si="3"/>
        <v>245</v>
      </c>
    </row>
    <row r="23">
      <c r="A23" s="115"/>
      <c r="B23" s="127">
        <v>14.0</v>
      </c>
      <c r="C23" s="128" t="s">
        <v>31</v>
      </c>
      <c r="D23" s="118"/>
      <c r="E23" s="119"/>
      <c r="F23" s="119"/>
      <c r="G23" s="119"/>
      <c r="H23" s="119"/>
      <c r="I23" s="119"/>
      <c r="J23" s="119"/>
      <c r="K23" s="120">
        <f t="shared" si="1"/>
        <v>0</v>
      </c>
      <c r="L23" s="121"/>
      <c r="M23" s="129">
        <v>45.0</v>
      </c>
      <c r="N23" s="125">
        <v>84.0</v>
      </c>
      <c r="O23" s="129">
        <v>15.0</v>
      </c>
      <c r="P23" s="129">
        <v>35.0</v>
      </c>
      <c r="Q23" s="130" t="s">
        <v>76</v>
      </c>
      <c r="R23" s="130" t="s">
        <v>76</v>
      </c>
      <c r="S23" s="130" t="s">
        <v>76</v>
      </c>
      <c r="T23" s="130" t="s">
        <v>76</v>
      </c>
      <c r="U23" s="130" t="s">
        <v>76</v>
      </c>
      <c r="V23" s="130" t="s">
        <v>76</v>
      </c>
      <c r="W23" s="130" t="s">
        <v>76</v>
      </c>
      <c r="X23" s="130" t="s">
        <v>76</v>
      </c>
      <c r="Y23" s="130" t="s">
        <v>76</v>
      </c>
      <c r="Z23" s="123" t="s">
        <v>75</v>
      </c>
      <c r="AA23" s="123" t="s">
        <v>75</v>
      </c>
      <c r="AB23" s="119"/>
      <c r="AC23" s="119"/>
      <c r="AD23" s="119"/>
      <c r="AE23" s="119"/>
      <c r="AF23" s="121"/>
      <c r="AG23" s="124">
        <f t="shared" si="2"/>
        <v>179</v>
      </c>
      <c r="AH23" s="136">
        <v>20.0</v>
      </c>
      <c r="AI23" s="123" t="s">
        <v>75</v>
      </c>
      <c r="AJ23" s="123" t="s">
        <v>75</v>
      </c>
      <c r="AK23" s="123" t="s">
        <v>75</v>
      </c>
      <c r="AL23" s="123" t="s">
        <v>75</v>
      </c>
      <c r="AM23" s="133" t="s">
        <v>77</v>
      </c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21"/>
      <c r="BB23" s="124">
        <f t="shared" si="3"/>
        <v>199</v>
      </c>
    </row>
    <row r="24">
      <c r="A24" s="115"/>
      <c r="B24" s="116">
        <v>15.0</v>
      </c>
      <c r="C24" s="143" t="s">
        <v>83</v>
      </c>
      <c r="D24" s="118"/>
      <c r="E24" s="119"/>
      <c r="F24" s="119"/>
      <c r="G24" s="119"/>
      <c r="H24" s="119"/>
      <c r="I24" s="119"/>
      <c r="J24" s="119"/>
      <c r="K24" s="120">
        <f t="shared" si="1"/>
        <v>0</v>
      </c>
      <c r="L24" s="121"/>
      <c r="M24" s="125">
        <v>45.0</v>
      </c>
      <c r="N24" s="129">
        <v>45.0</v>
      </c>
      <c r="O24" s="129">
        <v>35.0</v>
      </c>
      <c r="P24" s="129">
        <v>45.0</v>
      </c>
      <c r="Q24" s="125">
        <v>90.0</v>
      </c>
      <c r="R24" s="125">
        <v>90.0</v>
      </c>
      <c r="S24" s="125">
        <v>82.0</v>
      </c>
      <c r="T24" s="125">
        <v>90.0</v>
      </c>
      <c r="U24" s="125">
        <v>70.0</v>
      </c>
      <c r="V24" s="125">
        <v>90.0</v>
      </c>
      <c r="W24" s="133" t="s">
        <v>77</v>
      </c>
      <c r="X24" s="133" t="s">
        <v>77</v>
      </c>
      <c r="Y24" s="133" t="s">
        <v>77</v>
      </c>
      <c r="Z24" s="133" t="s">
        <v>77</v>
      </c>
      <c r="AA24" s="133" t="s">
        <v>77</v>
      </c>
      <c r="AB24" s="119"/>
      <c r="AC24" s="119"/>
      <c r="AD24" s="119"/>
      <c r="AE24" s="119"/>
      <c r="AF24" s="121"/>
      <c r="AG24" s="124">
        <f t="shared" si="2"/>
        <v>682</v>
      </c>
      <c r="AH24" s="133" t="s">
        <v>77</v>
      </c>
      <c r="AI24" s="133" t="s">
        <v>77</v>
      </c>
      <c r="AJ24" s="133" t="s">
        <v>77</v>
      </c>
      <c r="AK24" s="133" t="s">
        <v>77</v>
      </c>
      <c r="AL24" s="133" t="s">
        <v>77</v>
      </c>
      <c r="AM24" s="133" t="s">
        <v>77</v>
      </c>
      <c r="AN24" s="133" t="s">
        <v>77</v>
      </c>
      <c r="AO24" s="133" t="s">
        <v>77</v>
      </c>
      <c r="AP24" s="133" t="s">
        <v>77</v>
      </c>
      <c r="AQ24" s="133" t="s">
        <v>77</v>
      </c>
      <c r="AR24" s="133" t="s">
        <v>77</v>
      </c>
      <c r="AS24" s="133" t="s">
        <v>77</v>
      </c>
      <c r="AT24" s="133" t="s">
        <v>77</v>
      </c>
      <c r="AU24" s="133" t="s">
        <v>77</v>
      </c>
      <c r="AV24" s="133" t="s">
        <v>77</v>
      </c>
      <c r="AW24" s="119"/>
      <c r="AX24" s="119"/>
      <c r="AY24" s="119"/>
      <c r="AZ24" s="119"/>
      <c r="BA24" s="121"/>
      <c r="BB24" s="124">
        <f t="shared" si="3"/>
        <v>682</v>
      </c>
    </row>
    <row r="25">
      <c r="A25" s="115"/>
      <c r="B25" s="148">
        <v>16.0</v>
      </c>
      <c r="C25" s="128" t="s">
        <v>29</v>
      </c>
      <c r="D25" s="118"/>
      <c r="E25" s="119"/>
      <c r="F25" s="119"/>
      <c r="G25" s="119"/>
      <c r="H25" s="119"/>
      <c r="I25" s="119"/>
      <c r="J25" s="119"/>
      <c r="K25" s="120">
        <f t="shared" si="1"/>
        <v>0</v>
      </c>
      <c r="L25" s="121"/>
      <c r="M25" s="125">
        <v>61.0</v>
      </c>
      <c r="N25" s="125">
        <v>45.0</v>
      </c>
      <c r="O25" s="125">
        <v>60.0</v>
      </c>
      <c r="P25" s="125">
        <v>45.0</v>
      </c>
      <c r="Q25" s="129">
        <v>65.0</v>
      </c>
      <c r="R25" s="129">
        <v>35.0</v>
      </c>
      <c r="S25" s="125">
        <v>75.0</v>
      </c>
      <c r="T25" s="133" t="s">
        <v>77</v>
      </c>
      <c r="U25" s="129">
        <v>20.0</v>
      </c>
      <c r="V25" s="129">
        <v>16.0</v>
      </c>
      <c r="W25" s="125">
        <v>70.0</v>
      </c>
      <c r="X25" s="125">
        <v>90.0</v>
      </c>
      <c r="Y25" s="142">
        <v>62.0</v>
      </c>
      <c r="Z25" s="142">
        <v>80.0</v>
      </c>
      <c r="AA25" s="140" t="s">
        <v>79</v>
      </c>
      <c r="AB25" s="119"/>
      <c r="AC25" s="119"/>
      <c r="AD25" s="119"/>
      <c r="AE25" s="119"/>
      <c r="AF25" s="121"/>
      <c r="AG25" s="124">
        <f t="shared" si="2"/>
        <v>724</v>
      </c>
      <c r="AH25" s="141">
        <v>55.0</v>
      </c>
      <c r="AI25" s="136">
        <v>45.0</v>
      </c>
      <c r="AJ25" s="141">
        <v>32.0</v>
      </c>
      <c r="AK25" s="140" t="s">
        <v>79</v>
      </c>
      <c r="AL25" s="141">
        <v>45.0</v>
      </c>
      <c r="AM25" s="141">
        <v>45.0</v>
      </c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21"/>
      <c r="BB25" s="124">
        <f t="shared" si="3"/>
        <v>946</v>
      </c>
    </row>
    <row r="26">
      <c r="A26" s="115"/>
      <c r="B26" s="116">
        <v>17.0</v>
      </c>
      <c r="C26" s="131" t="s">
        <v>33</v>
      </c>
      <c r="D26" s="118"/>
      <c r="E26" s="119"/>
      <c r="F26" s="119"/>
      <c r="G26" s="119"/>
      <c r="H26" s="119"/>
      <c r="I26" s="119"/>
      <c r="J26" s="119"/>
      <c r="K26" s="120">
        <f t="shared" si="1"/>
        <v>0</v>
      </c>
      <c r="L26" s="121"/>
      <c r="M26" s="133" t="s">
        <v>77</v>
      </c>
      <c r="N26" s="133" t="s">
        <v>77</v>
      </c>
      <c r="O26" s="133" t="s">
        <v>77</v>
      </c>
      <c r="P26" s="133" t="s">
        <v>77</v>
      </c>
      <c r="Q26" s="133" t="s">
        <v>77</v>
      </c>
      <c r="R26" s="149">
        <v>78.0</v>
      </c>
      <c r="S26" s="134">
        <v>59.0</v>
      </c>
      <c r="T26" s="129">
        <v>45.0</v>
      </c>
      <c r="U26" s="129">
        <v>30.0</v>
      </c>
      <c r="V26" s="133" t="s">
        <v>77</v>
      </c>
      <c r="W26" s="129">
        <v>20.0</v>
      </c>
      <c r="X26" s="129">
        <v>45.0</v>
      </c>
      <c r="Y26" s="134">
        <v>25.0</v>
      </c>
      <c r="Z26" s="135">
        <v>90.0</v>
      </c>
      <c r="AA26" s="134">
        <v>25.0</v>
      </c>
      <c r="AB26" s="119"/>
      <c r="AC26" s="119"/>
      <c r="AD26" s="119"/>
      <c r="AE26" s="119"/>
      <c r="AF26" s="121"/>
      <c r="AG26" s="124">
        <f t="shared" si="2"/>
        <v>417</v>
      </c>
      <c r="AH26" s="136">
        <v>35.0</v>
      </c>
      <c r="AI26" s="134">
        <v>25.0</v>
      </c>
      <c r="AJ26" s="123" t="s">
        <v>75</v>
      </c>
      <c r="AK26" s="141">
        <v>63.0</v>
      </c>
      <c r="AL26" s="136">
        <v>45.0</v>
      </c>
      <c r="AM26" s="136">
        <v>45.0</v>
      </c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21"/>
      <c r="BB26" s="124">
        <f t="shared" si="3"/>
        <v>630</v>
      </c>
    </row>
    <row r="27">
      <c r="A27" s="115"/>
      <c r="B27" s="150">
        <v>18.0</v>
      </c>
      <c r="C27" s="128" t="s">
        <v>34</v>
      </c>
      <c r="D27" s="118"/>
      <c r="E27" s="119"/>
      <c r="F27" s="119"/>
      <c r="G27" s="119"/>
      <c r="H27" s="119"/>
      <c r="I27" s="119"/>
      <c r="J27" s="119"/>
      <c r="K27" s="132">
        <f t="shared" si="1"/>
        <v>0</v>
      </c>
      <c r="L27" s="121"/>
      <c r="M27" s="125">
        <v>90.0</v>
      </c>
      <c r="N27" s="125">
        <v>61.0</v>
      </c>
      <c r="O27" s="125">
        <v>45.0</v>
      </c>
      <c r="P27" s="129">
        <v>30.0</v>
      </c>
      <c r="Q27" s="125">
        <v>45.0</v>
      </c>
      <c r="R27" s="123" t="s">
        <v>75</v>
      </c>
      <c r="S27" s="129">
        <v>8.0</v>
      </c>
      <c r="T27" s="123" t="s">
        <v>75</v>
      </c>
      <c r="U27" s="125">
        <v>60.0</v>
      </c>
      <c r="V27" s="129">
        <v>12.0</v>
      </c>
      <c r="W27" s="129">
        <v>25.0</v>
      </c>
      <c r="X27" s="129">
        <v>10.0</v>
      </c>
      <c r="Y27" s="133" t="s">
        <v>77</v>
      </c>
      <c r="Z27" s="145">
        <v>45.0</v>
      </c>
      <c r="AA27" s="129">
        <v>20.0</v>
      </c>
      <c r="AB27" s="119"/>
      <c r="AC27" s="119"/>
      <c r="AD27" s="119"/>
      <c r="AE27" s="119"/>
      <c r="AF27" s="121"/>
      <c r="AG27" s="124">
        <f t="shared" si="2"/>
        <v>451</v>
      </c>
      <c r="AH27" s="141">
        <v>90.0</v>
      </c>
      <c r="AI27" s="133" t="s">
        <v>77</v>
      </c>
      <c r="AJ27" s="134">
        <v>25.0</v>
      </c>
      <c r="AK27" s="136">
        <v>30.0</v>
      </c>
      <c r="AL27" s="142">
        <v>76.0</v>
      </c>
      <c r="AM27" s="142">
        <v>70.0</v>
      </c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21"/>
      <c r="BB27" s="124">
        <f t="shared" si="3"/>
        <v>742</v>
      </c>
    </row>
    <row r="28">
      <c r="A28" s="115"/>
      <c r="B28" s="116">
        <v>19.0</v>
      </c>
      <c r="C28" s="143" t="s">
        <v>84</v>
      </c>
      <c r="D28" s="118"/>
      <c r="E28" s="119"/>
      <c r="F28" s="119"/>
      <c r="G28" s="119"/>
      <c r="H28" s="119"/>
      <c r="I28" s="119"/>
      <c r="J28" s="119"/>
      <c r="K28" s="132">
        <f t="shared" si="1"/>
        <v>0</v>
      </c>
      <c r="L28" s="121"/>
      <c r="M28" s="123" t="s">
        <v>75</v>
      </c>
      <c r="N28" s="129">
        <v>17.0</v>
      </c>
      <c r="O28" s="129">
        <v>8.0</v>
      </c>
      <c r="P28" s="123" t="s">
        <v>75</v>
      </c>
      <c r="Q28" s="129">
        <v>30.0</v>
      </c>
      <c r="R28" s="129">
        <v>45.0</v>
      </c>
      <c r="S28" s="123" t="s">
        <v>75</v>
      </c>
      <c r="T28" s="123" t="s">
        <v>75</v>
      </c>
      <c r="U28" s="123" t="s">
        <v>75</v>
      </c>
      <c r="V28" s="125">
        <v>65.0</v>
      </c>
      <c r="W28" s="125">
        <v>45.0</v>
      </c>
      <c r="X28" s="123" t="s">
        <v>75</v>
      </c>
      <c r="Y28" s="130" t="s">
        <v>76</v>
      </c>
      <c r="Z28" s="130" t="s">
        <v>76</v>
      </c>
      <c r="AA28" s="130" t="s">
        <v>76</v>
      </c>
      <c r="AB28" s="119"/>
      <c r="AC28" s="119"/>
      <c r="AD28" s="119"/>
      <c r="AE28" s="119"/>
      <c r="AF28" s="121"/>
      <c r="AG28" s="124">
        <f t="shared" si="2"/>
        <v>210</v>
      </c>
      <c r="AH28" s="130" t="s">
        <v>76</v>
      </c>
      <c r="AI28" s="123" t="s">
        <v>75</v>
      </c>
      <c r="AJ28" s="133" t="s">
        <v>77</v>
      </c>
      <c r="AK28" s="133" t="s">
        <v>77</v>
      </c>
      <c r="AL28" s="133" t="s">
        <v>77</v>
      </c>
      <c r="AM28" s="133" t="s">
        <v>77</v>
      </c>
      <c r="AN28" s="133" t="s">
        <v>77</v>
      </c>
      <c r="AO28" s="133" t="s">
        <v>77</v>
      </c>
      <c r="AP28" s="133" t="s">
        <v>77</v>
      </c>
      <c r="AQ28" s="133" t="s">
        <v>77</v>
      </c>
      <c r="AR28" s="133" t="s">
        <v>77</v>
      </c>
      <c r="AS28" s="133" t="s">
        <v>77</v>
      </c>
      <c r="AT28" s="133" t="s">
        <v>77</v>
      </c>
      <c r="AU28" s="133" t="s">
        <v>77</v>
      </c>
      <c r="AV28" s="133" t="s">
        <v>77</v>
      </c>
      <c r="AW28" s="119"/>
      <c r="AX28" s="119"/>
      <c r="AY28" s="119"/>
      <c r="AZ28" s="119"/>
      <c r="BA28" s="121"/>
      <c r="BB28" s="124">
        <f t="shared" si="3"/>
        <v>210</v>
      </c>
    </row>
    <row r="29">
      <c r="A29" s="115"/>
      <c r="B29" s="127">
        <v>20.0</v>
      </c>
      <c r="C29" s="128" t="s">
        <v>85</v>
      </c>
      <c r="D29" s="118"/>
      <c r="E29" s="119"/>
      <c r="F29" s="119"/>
      <c r="G29" s="119"/>
      <c r="H29" s="119"/>
      <c r="I29" s="119"/>
      <c r="J29" s="119"/>
      <c r="K29" s="132">
        <f t="shared" si="1"/>
        <v>0</v>
      </c>
      <c r="L29" s="121"/>
      <c r="M29" s="133" t="s">
        <v>77</v>
      </c>
      <c r="N29" s="133" t="s">
        <v>77</v>
      </c>
      <c r="O29" s="129">
        <v>45.0</v>
      </c>
      <c r="P29" s="125">
        <v>70.0</v>
      </c>
      <c r="Q29" s="123" t="s">
        <v>75</v>
      </c>
      <c r="R29" s="130" t="s">
        <v>76</v>
      </c>
      <c r="S29" s="130" t="s">
        <v>76</v>
      </c>
      <c r="T29" s="130" t="s">
        <v>76</v>
      </c>
      <c r="U29" s="130" t="s">
        <v>76</v>
      </c>
      <c r="V29" s="130" t="s">
        <v>76</v>
      </c>
      <c r="W29" s="130" t="s">
        <v>76</v>
      </c>
      <c r="X29" s="130" t="s">
        <v>76</v>
      </c>
      <c r="Y29" s="130" t="s">
        <v>76</v>
      </c>
      <c r="Z29" s="130" t="s">
        <v>76</v>
      </c>
      <c r="AA29" s="130" t="s">
        <v>76</v>
      </c>
      <c r="AB29" s="119"/>
      <c r="AC29" s="119"/>
      <c r="AD29" s="119"/>
      <c r="AE29" s="119"/>
      <c r="AF29" s="121"/>
      <c r="AG29" s="124">
        <f t="shared" si="2"/>
        <v>115</v>
      </c>
      <c r="AH29" s="130" t="s">
        <v>76</v>
      </c>
      <c r="AI29" s="133" t="s">
        <v>77</v>
      </c>
      <c r="AJ29" s="133" t="s">
        <v>77</v>
      </c>
      <c r="AK29" s="133" t="s">
        <v>77</v>
      </c>
      <c r="AL29" s="133" t="s">
        <v>77</v>
      </c>
      <c r="AM29" s="133" t="s">
        <v>77</v>
      </c>
      <c r="AN29" s="133" t="s">
        <v>77</v>
      </c>
      <c r="AO29" s="133" t="s">
        <v>77</v>
      </c>
      <c r="AP29" s="133" t="s">
        <v>77</v>
      </c>
      <c r="AQ29" s="133" t="s">
        <v>77</v>
      </c>
      <c r="AR29" s="133" t="s">
        <v>77</v>
      </c>
      <c r="AS29" s="133" t="s">
        <v>77</v>
      </c>
      <c r="AT29" s="133" t="s">
        <v>77</v>
      </c>
      <c r="AU29" s="133" t="s">
        <v>77</v>
      </c>
      <c r="AV29" s="133" t="s">
        <v>77</v>
      </c>
      <c r="AW29" s="119"/>
      <c r="AX29" s="119"/>
      <c r="AY29" s="119"/>
      <c r="AZ29" s="119"/>
      <c r="BA29" s="121"/>
      <c r="BB29" s="124">
        <f t="shared" si="3"/>
        <v>115</v>
      </c>
    </row>
    <row r="30">
      <c r="A30" s="115"/>
      <c r="B30" s="116">
        <v>21.0</v>
      </c>
      <c r="C30" s="143" t="s">
        <v>86</v>
      </c>
      <c r="D30" s="118"/>
      <c r="E30" s="119"/>
      <c r="F30" s="119"/>
      <c r="G30" s="119"/>
      <c r="H30" s="119"/>
      <c r="I30" s="119"/>
      <c r="J30" s="119"/>
      <c r="K30" s="132">
        <f t="shared" si="1"/>
        <v>0</v>
      </c>
      <c r="L30" s="121"/>
      <c r="M30" s="133" t="s">
        <v>77</v>
      </c>
      <c r="N30" s="133" t="s">
        <v>77</v>
      </c>
      <c r="O30" s="133" t="s">
        <v>77</v>
      </c>
      <c r="P30" s="133" t="s">
        <v>77</v>
      </c>
      <c r="Q30" s="129">
        <v>45.0</v>
      </c>
      <c r="R30" s="125">
        <v>90.0</v>
      </c>
      <c r="S30" s="125">
        <v>90.0</v>
      </c>
      <c r="T30" s="125">
        <v>90.0</v>
      </c>
      <c r="U30" s="125">
        <v>90.0</v>
      </c>
      <c r="V30" s="125">
        <v>78.0</v>
      </c>
      <c r="W30" s="133" t="s">
        <v>77</v>
      </c>
      <c r="X30" s="125">
        <v>80.0</v>
      </c>
      <c r="Y30" s="125">
        <v>45.0</v>
      </c>
      <c r="Z30" s="133" t="s">
        <v>77</v>
      </c>
      <c r="AA30" s="133" t="s">
        <v>77</v>
      </c>
      <c r="AB30" s="119"/>
      <c r="AC30" s="119"/>
      <c r="AD30" s="119"/>
      <c r="AE30" s="119"/>
      <c r="AF30" s="121"/>
      <c r="AG30" s="124">
        <f t="shared" si="2"/>
        <v>608</v>
      </c>
      <c r="AH30" s="133" t="s">
        <v>77</v>
      </c>
      <c r="AI30" s="133" t="s">
        <v>77</v>
      </c>
      <c r="AJ30" s="133" t="s">
        <v>77</v>
      </c>
      <c r="AK30" s="133" t="s">
        <v>77</v>
      </c>
      <c r="AL30" s="133" t="s">
        <v>77</v>
      </c>
      <c r="AM30" s="133" t="s">
        <v>77</v>
      </c>
      <c r="AN30" s="133" t="s">
        <v>77</v>
      </c>
      <c r="AO30" s="133" t="s">
        <v>77</v>
      </c>
      <c r="AP30" s="133" t="s">
        <v>77</v>
      </c>
      <c r="AQ30" s="133" t="s">
        <v>77</v>
      </c>
      <c r="AR30" s="133" t="s">
        <v>77</v>
      </c>
      <c r="AS30" s="133" t="s">
        <v>77</v>
      </c>
      <c r="AT30" s="133" t="s">
        <v>77</v>
      </c>
      <c r="AU30" s="133" t="s">
        <v>77</v>
      </c>
      <c r="AV30" s="133" t="s">
        <v>77</v>
      </c>
      <c r="AW30" s="119"/>
      <c r="AX30" s="119"/>
      <c r="AY30" s="119"/>
      <c r="AZ30" s="119"/>
      <c r="BA30" s="121"/>
      <c r="BB30" s="124">
        <f t="shared" si="3"/>
        <v>608</v>
      </c>
    </row>
    <row r="31">
      <c r="A31" s="115"/>
      <c r="B31" s="127">
        <v>22.0</v>
      </c>
      <c r="C31" s="128" t="s">
        <v>37</v>
      </c>
      <c r="D31" s="118"/>
      <c r="E31" s="119"/>
      <c r="F31" s="119"/>
      <c r="G31" s="119"/>
      <c r="H31" s="119"/>
      <c r="I31" s="119"/>
      <c r="J31" s="119"/>
      <c r="K31" s="132">
        <f t="shared" si="1"/>
        <v>0</v>
      </c>
      <c r="L31" s="121"/>
      <c r="M31" s="125">
        <v>90.0</v>
      </c>
      <c r="N31" s="125">
        <v>90.0</v>
      </c>
      <c r="O31" s="125">
        <v>60.0</v>
      </c>
      <c r="P31" s="125">
        <v>45.0</v>
      </c>
      <c r="Q31" s="129">
        <v>45.0</v>
      </c>
      <c r="R31" s="125">
        <v>73.0</v>
      </c>
      <c r="S31" s="125">
        <v>59.0</v>
      </c>
      <c r="T31" s="125">
        <v>65.0</v>
      </c>
      <c r="U31" s="125">
        <v>70.0</v>
      </c>
      <c r="V31" s="123" t="s">
        <v>75</v>
      </c>
      <c r="W31" s="125">
        <v>85.0</v>
      </c>
      <c r="X31" s="125">
        <v>90.0</v>
      </c>
      <c r="Y31" s="125">
        <v>90.0</v>
      </c>
      <c r="Z31" s="125">
        <v>90.0</v>
      </c>
      <c r="AA31" s="125">
        <v>90.0</v>
      </c>
      <c r="AB31" s="119"/>
      <c r="AC31" s="119"/>
      <c r="AD31" s="119"/>
      <c r="AE31" s="119"/>
      <c r="AF31" s="121"/>
      <c r="AG31" s="124">
        <f t="shared" si="2"/>
        <v>1042</v>
      </c>
      <c r="AH31" s="141">
        <v>90.0</v>
      </c>
      <c r="AI31" s="125">
        <v>45.0</v>
      </c>
      <c r="AJ31" s="125">
        <v>45.0</v>
      </c>
      <c r="AK31" s="142">
        <v>75.0</v>
      </c>
      <c r="AL31" s="125">
        <v>45.0</v>
      </c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21"/>
      <c r="BB31" s="124">
        <f t="shared" si="3"/>
        <v>1342</v>
      </c>
    </row>
    <row r="32">
      <c r="A32" s="115"/>
      <c r="B32" s="116">
        <v>23.0</v>
      </c>
      <c r="C32" s="128" t="s">
        <v>39</v>
      </c>
      <c r="D32" s="118"/>
      <c r="E32" s="119"/>
      <c r="F32" s="119"/>
      <c r="G32" s="119"/>
      <c r="H32" s="119"/>
      <c r="I32" s="119"/>
      <c r="J32" s="119"/>
      <c r="K32" s="132">
        <f t="shared" si="1"/>
        <v>0</v>
      </c>
      <c r="L32" s="121"/>
      <c r="M32" s="125">
        <v>90.0</v>
      </c>
      <c r="N32" s="125">
        <v>90.0</v>
      </c>
      <c r="O32" s="125">
        <v>87.0</v>
      </c>
      <c r="P32" s="125">
        <v>90.0</v>
      </c>
      <c r="Q32" s="125">
        <v>67.0</v>
      </c>
      <c r="R32" s="140" t="s">
        <v>79</v>
      </c>
      <c r="S32" s="140" t="s">
        <v>79</v>
      </c>
      <c r="T32" s="140" t="s">
        <v>79</v>
      </c>
      <c r="U32" s="129">
        <v>30.0</v>
      </c>
      <c r="V32" s="125">
        <v>90.0</v>
      </c>
      <c r="W32" s="125">
        <v>90.0</v>
      </c>
      <c r="X32" s="125">
        <v>90.0</v>
      </c>
      <c r="Y32" s="125">
        <v>90.0</v>
      </c>
      <c r="Z32" s="125">
        <v>45.0</v>
      </c>
      <c r="AA32" s="125">
        <v>90.0</v>
      </c>
      <c r="AB32" s="119"/>
      <c r="AC32" s="119"/>
      <c r="AD32" s="119"/>
      <c r="AE32" s="119"/>
      <c r="AF32" s="121"/>
      <c r="AG32" s="124">
        <f t="shared" si="2"/>
        <v>949</v>
      </c>
      <c r="AH32" s="141">
        <v>70.0</v>
      </c>
      <c r="AI32" s="141">
        <v>90.0</v>
      </c>
      <c r="AJ32" s="142">
        <v>85.0</v>
      </c>
      <c r="AK32" s="141">
        <v>90.0</v>
      </c>
      <c r="AL32" s="141">
        <v>90.0</v>
      </c>
      <c r="AM32" s="141">
        <v>90.0</v>
      </c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21"/>
      <c r="BB32" s="124">
        <f t="shared" si="3"/>
        <v>1464</v>
      </c>
    </row>
    <row r="33">
      <c r="A33" s="115"/>
      <c r="B33" s="127">
        <v>24.0</v>
      </c>
      <c r="C33" s="128" t="s">
        <v>38</v>
      </c>
      <c r="D33" s="118"/>
      <c r="E33" s="119"/>
      <c r="F33" s="119"/>
      <c r="G33" s="119"/>
      <c r="H33" s="119"/>
      <c r="I33" s="119"/>
      <c r="J33" s="119"/>
      <c r="K33" s="132">
        <f t="shared" si="1"/>
        <v>0</v>
      </c>
      <c r="L33" s="121"/>
      <c r="M33" s="129">
        <v>30.0</v>
      </c>
      <c r="N33" s="129">
        <v>30.0</v>
      </c>
      <c r="O33" s="129">
        <v>35.0</v>
      </c>
      <c r="P33" s="129">
        <v>45.0</v>
      </c>
      <c r="Q33" s="130" t="s">
        <v>76</v>
      </c>
      <c r="R33" s="130" t="s">
        <v>76</v>
      </c>
      <c r="S33" s="130" t="s">
        <v>76</v>
      </c>
      <c r="T33" s="130" t="s">
        <v>76</v>
      </c>
      <c r="U33" s="129">
        <v>20.0</v>
      </c>
      <c r="V33" s="125">
        <v>74.0</v>
      </c>
      <c r="W33" s="123" t="s">
        <v>75</v>
      </c>
      <c r="X33" s="123" t="s">
        <v>75</v>
      </c>
      <c r="Y33" s="145">
        <v>5.0</v>
      </c>
      <c r="Z33" s="145">
        <v>30.0</v>
      </c>
      <c r="AA33" s="125">
        <v>45.0</v>
      </c>
      <c r="AB33" s="119"/>
      <c r="AC33" s="119"/>
      <c r="AD33" s="119"/>
      <c r="AE33" s="119"/>
      <c r="AF33" s="121"/>
      <c r="AG33" s="124">
        <f t="shared" si="2"/>
        <v>314</v>
      </c>
      <c r="AH33" s="123" t="s">
        <v>75</v>
      </c>
      <c r="AI33" s="125">
        <v>45.0</v>
      </c>
      <c r="AJ33" s="136">
        <v>5.0</v>
      </c>
      <c r="AK33" s="123" t="s">
        <v>75</v>
      </c>
      <c r="AL33" s="136">
        <v>25.0</v>
      </c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21"/>
      <c r="BB33" s="124">
        <f t="shared" si="3"/>
        <v>389</v>
      </c>
    </row>
    <row r="34">
      <c r="A34" s="115"/>
      <c r="B34" s="116">
        <v>25.0</v>
      </c>
      <c r="C34" s="128" t="s">
        <v>87</v>
      </c>
      <c r="D34" s="118"/>
      <c r="E34" s="119"/>
      <c r="F34" s="119"/>
      <c r="G34" s="119"/>
      <c r="H34" s="119"/>
      <c r="I34" s="119"/>
      <c r="J34" s="119"/>
      <c r="K34" s="132">
        <f t="shared" si="1"/>
        <v>0</v>
      </c>
      <c r="L34" s="121"/>
      <c r="M34" s="129">
        <v>45.0</v>
      </c>
      <c r="N34" s="123" t="s">
        <v>75</v>
      </c>
      <c r="O34" s="133" t="s">
        <v>77</v>
      </c>
      <c r="P34" s="133" t="s">
        <v>77</v>
      </c>
      <c r="Q34" s="133" t="s">
        <v>77</v>
      </c>
      <c r="R34" s="129">
        <v>17.0</v>
      </c>
      <c r="S34" s="129">
        <v>15.0</v>
      </c>
      <c r="T34" s="125">
        <v>90.0</v>
      </c>
      <c r="U34" s="125">
        <v>60.0</v>
      </c>
      <c r="V34" s="125">
        <v>90.0</v>
      </c>
      <c r="W34" s="125">
        <v>65.0</v>
      </c>
      <c r="X34" s="129">
        <v>40.0</v>
      </c>
      <c r="Y34" s="125">
        <v>45.0</v>
      </c>
      <c r="Z34" s="142">
        <v>72.0</v>
      </c>
      <c r="AA34" s="142">
        <v>65.0</v>
      </c>
      <c r="AB34" s="151"/>
      <c r="AC34" s="151"/>
      <c r="AD34" s="151"/>
      <c r="AE34" s="151"/>
      <c r="AF34" s="121"/>
      <c r="AG34" s="124">
        <f t="shared" si="2"/>
        <v>604</v>
      </c>
      <c r="AH34" s="136">
        <v>20.0</v>
      </c>
      <c r="AI34" s="134">
        <v>25.0</v>
      </c>
      <c r="AJ34" s="123" t="s">
        <v>75</v>
      </c>
      <c r="AK34" s="136">
        <v>20.0</v>
      </c>
      <c r="AL34" s="123" t="s">
        <v>75</v>
      </c>
      <c r="AM34" s="123" t="s">
        <v>75</v>
      </c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21"/>
      <c r="BB34" s="124">
        <f t="shared" si="3"/>
        <v>669</v>
      </c>
    </row>
    <row r="35">
      <c r="A35" s="115"/>
      <c r="B35" s="127">
        <v>26.0</v>
      </c>
      <c r="C35" s="131" t="s">
        <v>88</v>
      </c>
      <c r="D35" s="118"/>
      <c r="E35" s="119"/>
      <c r="F35" s="119"/>
      <c r="G35" s="119"/>
      <c r="H35" s="119"/>
      <c r="I35" s="119"/>
      <c r="J35" s="119"/>
      <c r="K35" s="132">
        <f t="shared" si="1"/>
        <v>0</v>
      </c>
      <c r="L35" s="121"/>
      <c r="M35" s="133" t="s">
        <v>77</v>
      </c>
      <c r="N35" s="133" t="s">
        <v>77</v>
      </c>
      <c r="O35" s="133" t="s">
        <v>77</v>
      </c>
      <c r="P35" s="133" t="s">
        <v>77</v>
      </c>
      <c r="Q35" s="133" t="s">
        <v>77</v>
      </c>
      <c r="R35" s="129">
        <v>45.0</v>
      </c>
      <c r="S35" s="129">
        <v>45.0</v>
      </c>
      <c r="T35" s="134">
        <v>25.0</v>
      </c>
      <c r="U35" s="130" t="s">
        <v>76</v>
      </c>
      <c r="V35" s="130" t="s">
        <v>76</v>
      </c>
      <c r="W35" s="130" t="s">
        <v>76</v>
      </c>
      <c r="X35" s="130" t="s">
        <v>76</v>
      </c>
      <c r="Y35" s="130" t="s">
        <v>76</v>
      </c>
      <c r="Z35" s="130" t="s">
        <v>76</v>
      </c>
      <c r="AA35" s="130" t="s">
        <v>76</v>
      </c>
      <c r="AB35" s="151"/>
      <c r="AC35" s="151"/>
      <c r="AD35" s="151"/>
      <c r="AE35" s="151"/>
      <c r="AF35" s="121"/>
      <c r="AG35" s="124">
        <f t="shared" si="2"/>
        <v>115</v>
      </c>
      <c r="AH35" s="130" t="s">
        <v>76</v>
      </c>
      <c r="AI35" s="133" t="s">
        <v>77</v>
      </c>
      <c r="AJ35" s="136">
        <v>45.0</v>
      </c>
      <c r="AK35" s="136">
        <v>75.0</v>
      </c>
      <c r="AL35" s="136">
        <v>45.0</v>
      </c>
      <c r="AM35" s="136">
        <v>45.0</v>
      </c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21"/>
      <c r="BB35" s="124">
        <f t="shared" si="3"/>
        <v>325</v>
      </c>
    </row>
    <row r="36">
      <c r="A36" s="115"/>
      <c r="B36" s="116">
        <v>27.0</v>
      </c>
      <c r="C36" s="131" t="s">
        <v>89</v>
      </c>
      <c r="D36" s="118"/>
      <c r="E36" s="119"/>
      <c r="F36" s="119"/>
      <c r="G36" s="119"/>
      <c r="H36" s="119"/>
      <c r="I36" s="119"/>
      <c r="J36" s="119"/>
      <c r="K36" s="132">
        <f t="shared" si="1"/>
        <v>0</v>
      </c>
      <c r="L36" s="121"/>
      <c r="M36" s="133" t="s">
        <v>77</v>
      </c>
      <c r="N36" s="133" t="s">
        <v>77</v>
      </c>
      <c r="O36" s="133" t="s">
        <v>77</v>
      </c>
      <c r="P36" s="133" t="s">
        <v>77</v>
      </c>
      <c r="Q36" s="133" t="s">
        <v>77</v>
      </c>
      <c r="R36" s="133" t="s">
        <v>77</v>
      </c>
      <c r="S36" s="133" t="s">
        <v>77</v>
      </c>
      <c r="T36" s="134">
        <v>25.0</v>
      </c>
      <c r="U36" s="133" t="s">
        <v>77</v>
      </c>
      <c r="V36" s="133" t="s">
        <v>77</v>
      </c>
      <c r="W36" s="134">
        <v>6.0</v>
      </c>
      <c r="X36" s="123" t="s">
        <v>75</v>
      </c>
      <c r="Y36" s="123" t="s">
        <v>75</v>
      </c>
      <c r="Z36" s="136">
        <v>20.0</v>
      </c>
      <c r="AA36" s="136">
        <v>20.0</v>
      </c>
      <c r="AB36" s="151"/>
      <c r="AC36" s="151"/>
      <c r="AD36" s="151"/>
      <c r="AE36" s="151"/>
      <c r="AF36" s="121"/>
      <c r="AG36" s="124">
        <f t="shared" si="2"/>
        <v>71</v>
      </c>
      <c r="AH36" s="136">
        <v>45.0</v>
      </c>
      <c r="AI36" s="136">
        <v>45.0</v>
      </c>
      <c r="AJ36" s="130" t="s">
        <v>76</v>
      </c>
      <c r="AK36" s="136">
        <v>45.0</v>
      </c>
      <c r="AL36" s="133" t="s">
        <v>77</v>
      </c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21"/>
      <c r="BB36" s="124">
        <f t="shared" si="3"/>
        <v>206</v>
      </c>
    </row>
    <row r="37">
      <c r="A37" s="115"/>
      <c r="B37" s="127">
        <v>28.0</v>
      </c>
      <c r="C37" s="152" t="s">
        <v>90</v>
      </c>
      <c r="D37" s="24"/>
      <c r="E37" s="153"/>
      <c r="F37" s="153"/>
      <c r="G37" s="153"/>
      <c r="H37" s="153"/>
      <c r="I37" s="153"/>
      <c r="J37" s="153"/>
      <c r="K37" s="132">
        <f t="shared" si="1"/>
        <v>0</v>
      </c>
      <c r="L37" s="121"/>
      <c r="M37" s="122"/>
      <c r="N37" s="122"/>
      <c r="O37" s="122"/>
      <c r="P37" s="122"/>
      <c r="Q37" s="122"/>
      <c r="R37" s="122"/>
      <c r="S37" s="122"/>
      <c r="T37" s="154"/>
      <c r="U37" s="122"/>
      <c r="V37" s="122"/>
      <c r="W37" s="154"/>
      <c r="X37" s="122"/>
      <c r="Y37" s="122"/>
      <c r="Z37" s="155"/>
      <c r="AA37" s="136">
        <v>25.0</v>
      </c>
      <c r="AB37" s="151"/>
      <c r="AC37" s="151"/>
      <c r="AD37" s="151"/>
      <c r="AE37" s="151"/>
      <c r="AF37" s="121"/>
      <c r="AG37" s="124">
        <f t="shared" si="2"/>
        <v>25</v>
      </c>
      <c r="AH37" s="123" t="s">
        <v>75</v>
      </c>
      <c r="AI37" s="133" t="s">
        <v>77</v>
      </c>
      <c r="AJ37" s="123" t="s">
        <v>75</v>
      </c>
      <c r="AK37" s="123" t="s">
        <v>75</v>
      </c>
      <c r="AL37" s="123" t="s">
        <v>75</v>
      </c>
      <c r="AM37" s="123" t="s">
        <v>75</v>
      </c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21"/>
      <c r="BB37" s="124">
        <f t="shared" si="3"/>
        <v>25</v>
      </c>
    </row>
    <row r="38">
      <c r="A38" s="115"/>
      <c r="B38" s="156">
        <v>29.0</v>
      </c>
      <c r="C38" s="157" t="s">
        <v>91</v>
      </c>
      <c r="D38" s="109"/>
      <c r="E38" s="119"/>
      <c r="F38" s="119"/>
      <c r="G38" s="119"/>
      <c r="H38" s="119"/>
      <c r="I38" s="119"/>
      <c r="J38" s="119"/>
      <c r="K38" s="132">
        <f t="shared" si="1"/>
        <v>0</v>
      </c>
      <c r="L38" s="121"/>
      <c r="M38" s="122"/>
      <c r="N38" s="122"/>
      <c r="O38" s="122"/>
      <c r="P38" s="122"/>
      <c r="Q38" s="122"/>
      <c r="R38" s="122"/>
      <c r="S38" s="122"/>
      <c r="T38" s="154"/>
      <c r="U38" s="122"/>
      <c r="V38" s="122"/>
      <c r="W38" s="154"/>
      <c r="X38" s="122"/>
      <c r="Y38" s="122"/>
      <c r="Z38" s="155"/>
      <c r="AA38" s="155"/>
      <c r="AB38" s="151"/>
      <c r="AC38" s="151"/>
      <c r="AD38" s="151"/>
      <c r="AE38" s="151"/>
      <c r="AF38" s="121"/>
      <c r="AG38" s="124">
        <f t="shared" si="2"/>
        <v>0</v>
      </c>
      <c r="AH38" s="123" t="s">
        <v>75</v>
      </c>
      <c r="AI38" s="134">
        <v>25.0</v>
      </c>
      <c r="AJ38" s="141">
        <v>65.0</v>
      </c>
      <c r="AK38" s="141">
        <v>32.0</v>
      </c>
      <c r="AL38" s="133" t="s">
        <v>77</v>
      </c>
      <c r="AM38" s="123" t="s">
        <v>75</v>
      </c>
      <c r="AN38" s="119"/>
      <c r="AO38" s="119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8"/>
      <c r="BA38" s="121"/>
      <c r="BB38" s="124">
        <f t="shared" si="3"/>
        <v>122</v>
      </c>
    </row>
    <row r="39">
      <c r="A39" s="115"/>
      <c r="B39" s="159">
        <v>30.0</v>
      </c>
      <c r="C39" s="147" t="s">
        <v>92</v>
      </c>
      <c r="D39" s="118"/>
      <c r="E39" s="119"/>
      <c r="F39" s="119"/>
      <c r="G39" s="119"/>
      <c r="H39" s="119"/>
      <c r="I39" s="119"/>
      <c r="J39" s="119"/>
      <c r="K39" s="160">
        <f t="shared" si="1"/>
        <v>0</v>
      </c>
      <c r="L39" s="121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61"/>
      <c r="AA39" s="119"/>
      <c r="AB39" s="162"/>
      <c r="AC39" s="162"/>
      <c r="AD39" s="162"/>
      <c r="AE39" s="162"/>
      <c r="AF39" s="121"/>
      <c r="AG39" s="163">
        <f t="shared" si="2"/>
        <v>0</v>
      </c>
      <c r="AH39" s="162"/>
      <c r="AI39" s="162"/>
      <c r="AJ39" s="164"/>
      <c r="AK39" s="164"/>
      <c r="AL39" s="136">
        <v>45.0</v>
      </c>
      <c r="AM39" s="162"/>
      <c r="AN39" s="162"/>
      <c r="AO39" s="119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5"/>
      <c r="BA39" s="121"/>
      <c r="BB39" s="124">
        <f t="shared" si="3"/>
        <v>45</v>
      </c>
    </row>
    <row r="40">
      <c r="A40" s="166"/>
      <c r="B40" s="167" t="s">
        <v>93</v>
      </c>
      <c r="C40" s="168"/>
      <c r="D40" s="168"/>
      <c r="E40" s="169"/>
      <c r="F40" s="170"/>
      <c r="G40" s="170"/>
      <c r="H40" s="170"/>
      <c r="I40" s="170"/>
      <c r="J40" s="170"/>
      <c r="K40" s="160">
        <f t="shared" si="1"/>
        <v>0</v>
      </c>
      <c r="L40" s="121"/>
      <c r="M40" s="171">
        <v>0.0</v>
      </c>
      <c r="N40" s="172">
        <v>1.0</v>
      </c>
      <c r="O40" s="173">
        <v>1.0</v>
      </c>
      <c r="P40" s="172">
        <v>1.0</v>
      </c>
      <c r="Q40" s="172">
        <v>1.0</v>
      </c>
      <c r="R40" s="172">
        <v>0.0</v>
      </c>
      <c r="S40" s="173">
        <v>1.0</v>
      </c>
      <c r="T40" s="174">
        <v>5.0</v>
      </c>
      <c r="U40" s="172">
        <v>0.0</v>
      </c>
      <c r="V40" s="174">
        <v>2.0</v>
      </c>
      <c r="W40" s="173">
        <v>0.0</v>
      </c>
      <c r="X40" s="174">
        <v>1.0</v>
      </c>
      <c r="Y40" s="173">
        <v>1.0</v>
      </c>
      <c r="Z40" s="174">
        <v>1.0</v>
      </c>
      <c r="AA40" s="173">
        <v>1.0</v>
      </c>
      <c r="AB40" s="170"/>
      <c r="AC40" s="170"/>
      <c r="AD40" s="170"/>
      <c r="AE40" s="175"/>
      <c r="AF40" s="132"/>
      <c r="AG40" s="176">
        <v>15.0</v>
      </c>
      <c r="AH40" s="177">
        <v>2.0</v>
      </c>
      <c r="AI40" s="178">
        <v>2.0</v>
      </c>
      <c r="AJ40" s="177">
        <v>2.0</v>
      </c>
      <c r="AK40" s="178">
        <v>0.0</v>
      </c>
      <c r="AL40" s="179">
        <v>1.0</v>
      </c>
      <c r="AM40" s="178">
        <v>1.0</v>
      </c>
      <c r="AN40" s="170"/>
      <c r="AO40" s="170"/>
      <c r="AP40" s="170"/>
      <c r="AQ40" s="175"/>
      <c r="AR40" s="169"/>
      <c r="AS40" s="170"/>
      <c r="AT40" s="170"/>
      <c r="AU40" s="170"/>
      <c r="AV40" s="170"/>
      <c r="AW40" s="170"/>
      <c r="AX40" s="170"/>
      <c r="AY40" s="170"/>
      <c r="AZ40" s="170"/>
      <c r="BA40" s="132">
        <f t="shared" ref="BA40:BA41" si="4">SUM(AH40:AZ40)</f>
        <v>8</v>
      </c>
      <c r="BB40" s="132">
        <f t="shared" ref="BB40:BB41" si="5">SUM(M40:AE40)+SUM(AH40:AZ40)</f>
        <v>24</v>
      </c>
    </row>
    <row r="41">
      <c r="A41" s="166"/>
      <c r="B41" s="23"/>
      <c r="E41" s="180"/>
      <c r="F41" s="181"/>
      <c r="G41" s="181"/>
      <c r="H41" s="181"/>
      <c r="I41" s="181"/>
      <c r="J41" s="181"/>
      <c r="K41" s="160">
        <f t="shared" si="1"/>
        <v>0</v>
      </c>
      <c r="L41" s="182"/>
      <c r="M41" s="183">
        <v>3.0</v>
      </c>
      <c r="N41" s="184">
        <v>3.0</v>
      </c>
      <c r="O41" s="185">
        <v>1.0</v>
      </c>
      <c r="P41" s="184">
        <v>3.0</v>
      </c>
      <c r="Q41" s="184">
        <v>2.0</v>
      </c>
      <c r="R41" s="184">
        <v>1.0</v>
      </c>
      <c r="S41" s="185">
        <v>1.0</v>
      </c>
      <c r="T41" s="186">
        <v>3.0</v>
      </c>
      <c r="U41" s="184">
        <v>1.0</v>
      </c>
      <c r="V41" s="186">
        <v>1.0</v>
      </c>
      <c r="W41" s="185">
        <v>0.0</v>
      </c>
      <c r="X41" s="186">
        <v>0.0</v>
      </c>
      <c r="Y41" s="185">
        <v>1.0</v>
      </c>
      <c r="Z41" s="186">
        <v>0.0</v>
      </c>
      <c r="AA41" s="185">
        <v>1.0</v>
      </c>
      <c r="AB41" s="181"/>
      <c r="AC41" s="181"/>
      <c r="AD41" s="181"/>
      <c r="AE41" s="187"/>
      <c r="AF41" s="132"/>
      <c r="AG41" s="176">
        <v>20.0</v>
      </c>
      <c r="AH41" s="186">
        <v>0.0</v>
      </c>
      <c r="AI41" s="188">
        <v>4.0</v>
      </c>
      <c r="AJ41" s="189">
        <v>1.0</v>
      </c>
      <c r="AK41" s="188">
        <v>2.0</v>
      </c>
      <c r="AL41" s="190">
        <v>1.0</v>
      </c>
      <c r="AM41" s="188">
        <v>5.0</v>
      </c>
      <c r="AN41" s="181"/>
      <c r="AO41" s="181"/>
      <c r="AP41" s="181"/>
      <c r="AQ41" s="187"/>
      <c r="AR41" s="180"/>
      <c r="AS41" s="181"/>
      <c r="AT41" s="181"/>
      <c r="AU41" s="181"/>
      <c r="AV41" s="181"/>
      <c r="AW41" s="181"/>
      <c r="AX41" s="181"/>
      <c r="AY41" s="181"/>
      <c r="AZ41" s="181"/>
      <c r="BA41" s="132">
        <f t="shared" si="4"/>
        <v>13</v>
      </c>
      <c r="BB41" s="132">
        <f t="shared" si="5"/>
        <v>34</v>
      </c>
    </row>
    <row r="42" ht="33.0" customHeight="1">
      <c r="A42" s="191"/>
      <c r="B42" s="25"/>
      <c r="C42" s="65"/>
      <c r="D42" s="65"/>
      <c r="E42" s="192"/>
      <c r="F42" s="62"/>
      <c r="G42" s="62"/>
      <c r="H42" s="62"/>
      <c r="I42" s="62"/>
      <c r="J42" s="62"/>
      <c r="K42" s="17"/>
      <c r="L42" s="193" t="s">
        <v>94</v>
      </c>
      <c r="M42" s="62"/>
      <c r="N42" s="62"/>
      <c r="O42" s="62"/>
      <c r="P42" s="62"/>
      <c r="Q42" s="62"/>
      <c r="R42" s="17"/>
      <c r="S42" s="194" t="s">
        <v>95</v>
      </c>
      <c r="T42" s="62"/>
      <c r="U42" s="62"/>
      <c r="V42" s="62"/>
      <c r="W42" s="62"/>
      <c r="X42" s="62"/>
      <c r="Y42" s="62"/>
      <c r="Z42" s="62"/>
      <c r="AA42" s="62"/>
      <c r="AB42" s="62"/>
      <c r="AC42" s="17"/>
      <c r="AD42" s="195" t="s">
        <v>96</v>
      </c>
      <c r="AE42" s="62"/>
      <c r="AF42" s="62"/>
      <c r="AG42" s="62"/>
      <c r="AH42" s="62"/>
      <c r="AI42" s="17"/>
      <c r="AJ42" s="196" t="s">
        <v>97</v>
      </c>
      <c r="AK42" s="62"/>
      <c r="AL42" s="62"/>
      <c r="AM42" s="62"/>
      <c r="AN42" s="17"/>
      <c r="AO42" s="197" t="s">
        <v>98</v>
      </c>
      <c r="AP42" s="62"/>
      <c r="AQ42" s="62"/>
      <c r="AR42" s="17"/>
      <c r="AS42" s="198" t="s">
        <v>99</v>
      </c>
      <c r="AT42" s="62"/>
      <c r="AU42" s="62"/>
      <c r="AV42" s="62"/>
      <c r="AW42" s="62"/>
      <c r="AX42" s="62"/>
      <c r="AY42" s="62"/>
      <c r="AZ42" s="62"/>
      <c r="BA42" s="199"/>
      <c r="BB42" s="60"/>
    </row>
  </sheetData>
  <mergeCells count="57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S42:AC42"/>
    <mergeCell ref="AD42:AI42"/>
    <mergeCell ref="AJ42:AN42"/>
    <mergeCell ref="AO42:AR42"/>
    <mergeCell ref="AS42:BA42"/>
    <mergeCell ref="C36:D36"/>
    <mergeCell ref="C37:D37"/>
    <mergeCell ref="C38:D38"/>
    <mergeCell ref="C39:D39"/>
    <mergeCell ref="B40:D42"/>
    <mergeCell ref="E42:K42"/>
    <mergeCell ref="L42:R42"/>
    <mergeCell ref="M4:AE4"/>
    <mergeCell ref="AH4:BA4"/>
    <mergeCell ref="M9:N9"/>
    <mergeCell ref="O9:S9"/>
    <mergeCell ref="T9:W9"/>
    <mergeCell ref="X9:AH9"/>
    <mergeCell ref="AI9:AL9"/>
    <mergeCell ref="AM9:AP9"/>
    <mergeCell ref="AQ9:AS9"/>
    <mergeCell ref="AT9:AV9"/>
    <mergeCell ref="B2:BA2"/>
    <mergeCell ref="B3:BA3"/>
    <mergeCell ref="B4:D9"/>
    <mergeCell ref="E4:K4"/>
    <mergeCell ref="L4:L7"/>
    <mergeCell ref="AF4:AF7"/>
    <mergeCell ref="AG4:AG7"/>
    <mergeCell ref="E9:H9"/>
    <mergeCell ref="I9:L9"/>
    <mergeCell ref="C10:D10"/>
    <mergeCell ref="C11:D11"/>
    <mergeCell ref="C12:D12"/>
    <mergeCell ref="C13:D13"/>
    <mergeCell ref="C14:D14"/>
  </mergeCells>
  <conditionalFormatting sqref="BB10:BB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7.57"/>
    <col customWidth="1" min="3" max="3" width="46.86"/>
    <col customWidth="1" min="4" max="4" width="7.86"/>
    <col customWidth="1" min="5" max="53" width="8.86"/>
    <col customWidth="1" min="54" max="54" width="12.86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60"/>
    </row>
    <row r="2">
      <c r="A2" s="59"/>
      <c r="B2" s="61" t="s">
        <v>100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17"/>
      <c r="BB2" s="60"/>
    </row>
    <row r="3">
      <c r="A3" s="63"/>
      <c r="B3" s="64" t="s">
        <v>41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26"/>
      <c r="BB3" s="60"/>
    </row>
    <row r="4" ht="23.25" customHeight="1">
      <c r="B4" s="66"/>
      <c r="C4" s="67"/>
      <c r="D4" s="67"/>
      <c r="E4" s="68" t="s">
        <v>42</v>
      </c>
      <c r="F4" s="69"/>
      <c r="G4" s="69"/>
      <c r="H4" s="69"/>
      <c r="I4" s="69"/>
      <c r="J4" s="69"/>
      <c r="K4" s="70"/>
      <c r="L4" s="71" t="s">
        <v>43</v>
      </c>
      <c r="M4" s="200" t="s">
        <v>44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3"/>
      <c r="AF4" s="71" t="s">
        <v>45</v>
      </c>
      <c r="AG4" s="74" t="s">
        <v>46</v>
      </c>
      <c r="AH4" s="201" t="s">
        <v>101</v>
      </c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17"/>
      <c r="BB4" s="60"/>
    </row>
    <row r="5">
      <c r="B5" s="76"/>
      <c r="E5" s="77">
        <v>1.0</v>
      </c>
      <c r="F5" s="78">
        <v>2.0</v>
      </c>
      <c r="G5" s="78">
        <v>3.0</v>
      </c>
      <c r="H5" s="78">
        <v>4.0</v>
      </c>
      <c r="I5" s="78">
        <v>5.0</v>
      </c>
      <c r="J5" s="78">
        <v>6.0</v>
      </c>
      <c r="K5" s="79" t="s">
        <v>48</v>
      </c>
      <c r="L5" s="80"/>
      <c r="M5" s="81">
        <v>1.0</v>
      </c>
      <c r="N5" s="81">
        <v>2.0</v>
      </c>
      <c r="O5" s="81">
        <v>3.0</v>
      </c>
      <c r="P5" s="81">
        <v>4.0</v>
      </c>
      <c r="Q5" s="81">
        <v>5.0</v>
      </c>
      <c r="R5" s="81">
        <v>6.0</v>
      </c>
      <c r="S5" s="81">
        <v>7.0</v>
      </c>
      <c r="T5" s="81">
        <v>8.0</v>
      </c>
      <c r="U5" s="81">
        <v>9.0</v>
      </c>
      <c r="V5" s="81">
        <v>10.0</v>
      </c>
      <c r="W5" s="81">
        <v>11.0</v>
      </c>
      <c r="X5" s="81">
        <v>12.0</v>
      </c>
      <c r="Y5" s="81">
        <v>13.0</v>
      </c>
      <c r="Z5" s="81">
        <v>14.0</v>
      </c>
      <c r="AA5" s="81">
        <v>15.0</v>
      </c>
      <c r="AB5" s="78"/>
      <c r="AC5" s="78"/>
      <c r="AD5" s="78"/>
      <c r="AE5" s="78"/>
      <c r="AF5" s="80"/>
      <c r="AG5" s="82"/>
      <c r="AH5" s="83">
        <v>16.0</v>
      </c>
      <c r="AI5" s="83">
        <v>17.0</v>
      </c>
      <c r="AJ5" s="83">
        <v>18.0</v>
      </c>
      <c r="AK5" s="83">
        <v>19.0</v>
      </c>
      <c r="AL5" s="83">
        <v>20.0</v>
      </c>
      <c r="AM5" s="83">
        <v>21.0</v>
      </c>
      <c r="AN5" s="83">
        <v>22.0</v>
      </c>
      <c r="AO5" s="83">
        <v>23.0</v>
      </c>
      <c r="AP5" s="83">
        <v>24.0</v>
      </c>
      <c r="AQ5" s="83">
        <v>25.0</v>
      </c>
      <c r="AR5" s="83">
        <v>26.0</v>
      </c>
      <c r="AS5" s="83">
        <v>27.0</v>
      </c>
      <c r="AT5" s="83">
        <v>28.0</v>
      </c>
      <c r="AU5" s="83">
        <v>29.0</v>
      </c>
      <c r="AV5" s="83">
        <v>30.0</v>
      </c>
      <c r="AW5" s="84"/>
      <c r="AX5" s="84"/>
      <c r="AY5" s="84"/>
      <c r="AZ5" s="84"/>
      <c r="BA5" s="84"/>
      <c r="BB5" s="60"/>
    </row>
    <row r="6">
      <c r="B6" s="76"/>
      <c r="E6" s="202" t="s">
        <v>49</v>
      </c>
      <c r="F6" s="86" t="s">
        <v>50</v>
      </c>
      <c r="G6" s="86" t="s">
        <v>49</v>
      </c>
      <c r="H6" s="86" t="s">
        <v>50</v>
      </c>
      <c r="I6" s="86" t="s">
        <v>50</v>
      </c>
      <c r="J6" s="86" t="s">
        <v>49</v>
      </c>
      <c r="K6" s="87"/>
      <c r="L6" s="80"/>
      <c r="M6" s="88" t="s">
        <v>49</v>
      </c>
      <c r="N6" s="89" t="s">
        <v>50</v>
      </c>
      <c r="O6" s="88" t="s">
        <v>49</v>
      </c>
      <c r="P6" s="89" t="s">
        <v>50</v>
      </c>
      <c r="Q6" s="88" t="s">
        <v>49</v>
      </c>
      <c r="R6" s="89" t="s">
        <v>50</v>
      </c>
      <c r="S6" s="88" t="s">
        <v>49</v>
      </c>
      <c r="T6" s="89" t="s">
        <v>50</v>
      </c>
      <c r="U6" s="88" t="s">
        <v>49</v>
      </c>
      <c r="V6" s="89" t="s">
        <v>50</v>
      </c>
      <c r="W6" s="88" t="s">
        <v>49</v>
      </c>
      <c r="X6" s="89" t="s">
        <v>50</v>
      </c>
      <c r="Y6" s="88" t="s">
        <v>49</v>
      </c>
      <c r="Z6" s="89" t="s">
        <v>50</v>
      </c>
      <c r="AA6" s="88" t="s">
        <v>49</v>
      </c>
      <c r="AB6" s="90"/>
      <c r="AC6" s="90"/>
      <c r="AD6" s="90"/>
      <c r="AE6" s="90"/>
      <c r="AF6" s="80"/>
      <c r="AG6" s="82"/>
      <c r="AH6" s="88" t="s">
        <v>50</v>
      </c>
      <c r="AI6" s="89" t="s">
        <v>49</v>
      </c>
      <c r="AJ6" s="88" t="s">
        <v>50</v>
      </c>
      <c r="AK6" s="89" t="s">
        <v>49</v>
      </c>
      <c r="AL6" s="88" t="s">
        <v>50</v>
      </c>
      <c r="AM6" s="89" t="s">
        <v>49</v>
      </c>
      <c r="AN6" s="88" t="s">
        <v>50</v>
      </c>
      <c r="AO6" s="89" t="s">
        <v>49</v>
      </c>
      <c r="AP6" s="88" t="s">
        <v>50</v>
      </c>
      <c r="AQ6" s="89" t="s">
        <v>49</v>
      </c>
      <c r="AR6" s="88" t="s">
        <v>50</v>
      </c>
      <c r="AS6" s="89" t="s">
        <v>49</v>
      </c>
      <c r="AT6" s="88" t="s">
        <v>50</v>
      </c>
      <c r="AU6" s="89" t="s">
        <v>49</v>
      </c>
      <c r="AV6" s="88" t="s">
        <v>50</v>
      </c>
      <c r="AW6" s="90"/>
      <c r="AX6" s="90"/>
      <c r="AY6" s="90"/>
      <c r="AZ6" s="90"/>
      <c r="BA6" s="90"/>
      <c r="BB6" s="60"/>
    </row>
    <row r="7" ht="319.5" customHeight="1">
      <c r="B7" s="76"/>
      <c r="E7" s="93"/>
      <c r="F7" s="93"/>
      <c r="G7" s="93"/>
      <c r="H7" s="93"/>
      <c r="I7" s="93"/>
      <c r="J7" s="93"/>
      <c r="K7" s="94" t="s">
        <v>46</v>
      </c>
      <c r="L7" s="95"/>
      <c r="M7" s="96" t="s">
        <v>51</v>
      </c>
      <c r="N7" s="97" t="s">
        <v>52</v>
      </c>
      <c r="O7" s="96" t="s">
        <v>53</v>
      </c>
      <c r="P7" s="97" t="s">
        <v>54</v>
      </c>
      <c r="Q7" s="203" t="s">
        <v>55</v>
      </c>
      <c r="R7" s="97" t="s">
        <v>56</v>
      </c>
      <c r="S7" s="96" t="s">
        <v>57</v>
      </c>
      <c r="T7" s="97" t="s">
        <v>58</v>
      </c>
      <c r="U7" s="96" t="s">
        <v>59</v>
      </c>
      <c r="V7" s="97" t="s">
        <v>60</v>
      </c>
      <c r="W7" s="96" t="s">
        <v>61</v>
      </c>
      <c r="X7" s="97" t="s">
        <v>62</v>
      </c>
      <c r="Y7" s="96" t="s">
        <v>63</v>
      </c>
      <c r="Z7" s="97" t="s">
        <v>64</v>
      </c>
      <c r="AA7" s="96" t="s">
        <v>65</v>
      </c>
      <c r="AB7" s="93"/>
      <c r="AC7" s="93"/>
      <c r="AD7" s="93"/>
      <c r="AE7" s="93"/>
      <c r="AF7" s="95"/>
      <c r="AG7" s="98"/>
      <c r="AH7" s="96" t="s">
        <v>51</v>
      </c>
      <c r="AI7" s="97" t="s">
        <v>52</v>
      </c>
      <c r="AJ7" s="96" t="s">
        <v>53</v>
      </c>
      <c r="AK7" s="97" t="s">
        <v>54</v>
      </c>
      <c r="AL7" s="203" t="s">
        <v>55</v>
      </c>
      <c r="AM7" s="97" t="s">
        <v>56</v>
      </c>
      <c r="AN7" s="96" t="s">
        <v>57</v>
      </c>
      <c r="AO7" s="97" t="s">
        <v>58</v>
      </c>
      <c r="AP7" s="96" t="s">
        <v>59</v>
      </c>
      <c r="AQ7" s="97" t="s">
        <v>60</v>
      </c>
      <c r="AR7" s="96" t="s">
        <v>61</v>
      </c>
      <c r="AS7" s="97" t="s">
        <v>62</v>
      </c>
      <c r="AT7" s="96" t="s">
        <v>63</v>
      </c>
      <c r="AU7" s="97" t="s">
        <v>64</v>
      </c>
      <c r="AV7" s="96" t="s">
        <v>65</v>
      </c>
      <c r="AW7" s="93"/>
      <c r="AX7" s="93"/>
      <c r="AY7" s="93"/>
      <c r="AZ7" s="93"/>
      <c r="BA7" s="99" t="s">
        <v>66</v>
      </c>
      <c r="BB7" s="60"/>
    </row>
    <row r="8">
      <c r="B8" s="76"/>
      <c r="E8" s="101"/>
      <c r="F8" s="101"/>
      <c r="G8" s="101"/>
      <c r="H8" s="101"/>
      <c r="I8" s="101"/>
      <c r="J8" s="101"/>
      <c r="K8" s="101"/>
      <c r="L8" s="101"/>
      <c r="M8" s="102">
        <v>17.0</v>
      </c>
      <c r="N8" s="102">
        <v>24.0</v>
      </c>
      <c r="O8" s="102">
        <v>1.0</v>
      </c>
      <c r="P8" s="102">
        <v>8.0</v>
      </c>
      <c r="Q8" s="102">
        <v>15.0</v>
      </c>
      <c r="R8" s="102">
        <v>22.0</v>
      </c>
      <c r="S8" s="102">
        <v>29.0</v>
      </c>
      <c r="T8" s="102">
        <v>5.0</v>
      </c>
      <c r="U8" s="102">
        <v>12.0</v>
      </c>
      <c r="V8" s="102">
        <v>19.0</v>
      </c>
      <c r="W8" s="102">
        <v>26.0</v>
      </c>
      <c r="X8" s="102">
        <v>3.0</v>
      </c>
      <c r="Y8" s="102">
        <v>10.0</v>
      </c>
      <c r="Z8" s="102">
        <v>17.0</v>
      </c>
      <c r="AA8" s="102">
        <v>24.0</v>
      </c>
      <c r="AB8" s="103"/>
      <c r="AC8" s="103"/>
      <c r="AD8" s="103"/>
      <c r="AE8" s="103"/>
      <c r="AF8" s="103"/>
      <c r="AG8" s="103"/>
      <c r="AH8" s="104">
        <v>29.0</v>
      </c>
      <c r="AI8" s="102">
        <v>7.0</v>
      </c>
      <c r="AJ8" s="102">
        <v>14.0</v>
      </c>
      <c r="AK8" s="102">
        <v>21.0</v>
      </c>
      <c r="AL8" s="102">
        <v>28.0</v>
      </c>
      <c r="AM8" s="102">
        <v>4.0</v>
      </c>
      <c r="AN8" s="102">
        <v>11.0</v>
      </c>
      <c r="AO8" s="102">
        <v>18.0</v>
      </c>
      <c r="AP8" s="102">
        <v>25.0</v>
      </c>
      <c r="AQ8" s="102">
        <v>4.0</v>
      </c>
      <c r="AR8" s="102">
        <v>11.0</v>
      </c>
      <c r="AS8" s="102">
        <v>25.0</v>
      </c>
      <c r="AT8" s="102">
        <v>1.0</v>
      </c>
      <c r="AU8" s="102">
        <v>8.0</v>
      </c>
      <c r="AV8" s="102">
        <v>15.0</v>
      </c>
      <c r="AW8" s="101" t="str">
        <f>DAKIKA!AW8</f>
        <v/>
      </c>
      <c r="AX8" s="101" t="str">
        <f>DAKIKA!AX8</f>
        <v/>
      </c>
      <c r="AY8" s="101" t="str">
        <f>DAKIKA!AY8</f>
        <v/>
      </c>
      <c r="AZ8" s="101" t="str">
        <f>DAKIKA!AZ8</f>
        <v/>
      </c>
      <c r="BA8" s="101"/>
      <c r="BB8" s="60"/>
    </row>
    <row r="9">
      <c r="B9" s="105"/>
      <c r="C9" s="106"/>
      <c r="D9" s="106"/>
      <c r="E9" s="204"/>
      <c r="F9" s="205"/>
      <c r="G9" s="205"/>
      <c r="H9" s="206"/>
      <c r="I9" s="204"/>
      <c r="J9" s="206"/>
      <c r="K9" s="207"/>
      <c r="L9" s="208"/>
      <c r="M9" s="108" t="s">
        <v>67</v>
      </c>
      <c r="N9" s="109"/>
      <c r="O9" s="108" t="s">
        <v>68</v>
      </c>
      <c r="P9" s="110"/>
      <c r="Q9" s="110"/>
      <c r="R9" s="110"/>
      <c r="S9" s="109"/>
      <c r="T9" s="108" t="s">
        <v>69</v>
      </c>
      <c r="U9" s="110"/>
      <c r="V9" s="110"/>
      <c r="W9" s="109"/>
      <c r="X9" s="111" t="s">
        <v>70</v>
      </c>
      <c r="Y9" s="110"/>
      <c r="Z9" s="110"/>
      <c r="AA9" s="110"/>
      <c r="AB9" s="110"/>
      <c r="AC9" s="110"/>
      <c r="AD9" s="110"/>
      <c r="AE9" s="110"/>
      <c r="AF9" s="110"/>
      <c r="AG9" s="110"/>
      <c r="AH9" s="109"/>
      <c r="AI9" s="108" t="s">
        <v>71</v>
      </c>
      <c r="AJ9" s="110"/>
      <c r="AK9" s="110"/>
      <c r="AL9" s="109"/>
      <c r="AM9" s="108" t="s">
        <v>72</v>
      </c>
      <c r="AN9" s="110"/>
      <c r="AO9" s="110"/>
      <c r="AP9" s="109"/>
      <c r="AQ9" s="108" t="s">
        <v>73</v>
      </c>
      <c r="AR9" s="110"/>
      <c r="AS9" s="109"/>
      <c r="AT9" s="108" t="s">
        <v>74</v>
      </c>
      <c r="AU9" s="110"/>
      <c r="AV9" s="109"/>
      <c r="AW9" s="112"/>
      <c r="AX9" s="112"/>
      <c r="AY9" s="112"/>
      <c r="AZ9" s="112"/>
      <c r="BA9" s="209"/>
      <c r="BB9" s="114"/>
    </row>
    <row r="10">
      <c r="A10" s="115"/>
      <c r="B10" s="116">
        <v>1.0</v>
      </c>
      <c r="C10" s="138" t="s">
        <v>7</v>
      </c>
      <c r="D10" s="118"/>
      <c r="E10" s="119"/>
      <c r="F10" s="119"/>
      <c r="G10" s="119"/>
      <c r="H10" s="119"/>
      <c r="I10" s="119"/>
      <c r="J10" s="119"/>
      <c r="K10" s="120">
        <f t="shared" ref="K10:K41" si="1">SUM(E10:J10)</f>
        <v>0</v>
      </c>
      <c r="L10" s="121"/>
      <c r="M10" s="119"/>
      <c r="N10" s="210"/>
      <c r="O10" s="119"/>
      <c r="P10" s="119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119"/>
      <c r="AD10" s="119"/>
      <c r="AE10" s="119"/>
      <c r="AF10" s="126"/>
      <c r="AG10" s="124">
        <f t="shared" ref="AG10:AG41" si="2">SUM(M10:AF10)</f>
        <v>0</v>
      </c>
      <c r="AH10" s="210"/>
      <c r="AI10" s="210"/>
      <c r="AJ10" s="119"/>
      <c r="AK10" s="119"/>
      <c r="AL10" s="119"/>
      <c r="AM10" s="210"/>
      <c r="AN10" s="119"/>
      <c r="AO10" s="210"/>
      <c r="AP10" s="119"/>
      <c r="AQ10" s="210"/>
      <c r="AR10" s="119"/>
      <c r="AS10" s="119"/>
      <c r="AT10" s="119"/>
      <c r="AU10" s="119"/>
      <c r="AV10" s="119"/>
      <c r="AW10" s="119"/>
      <c r="AX10" s="119"/>
      <c r="AY10" s="119"/>
      <c r="AZ10" s="119"/>
      <c r="BA10" s="126"/>
      <c r="BB10" s="124">
        <f t="shared" ref="BB10:BB39" si="3">SUM(M10:AF10,AH10:BA10)</f>
        <v>0</v>
      </c>
    </row>
    <row r="11">
      <c r="A11" s="115"/>
      <c r="B11" s="127">
        <v>2.0</v>
      </c>
      <c r="C11" s="128" t="s">
        <v>8</v>
      </c>
      <c r="D11" s="118"/>
      <c r="E11" s="119"/>
      <c r="F11" s="119"/>
      <c r="G11" s="119"/>
      <c r="H11" s="119"/>
      <c r="I11" s="119"/>
      <c r="J11" s="119"/>
      <c r="K11" s="120">
        <f t="shared" si="1"/>
        <v>0</v>
      </c>
      <c r="L11" s="121"/>
      <c r="M11" s="119"/>
      <c r="N11" s="210"/>
      <c r="O11" s="119"/>
      <c r="P11" s="210"/>
      <c r="Q11" s="119"/>
      <c r="R11" s="119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119"/>
      <c r="AD11" s="119"/>
      <c r="AE11" s="119"/>
      <c r="AF11" s="121"/>
      <c r="AG11" s="124">
        <f t="shared" si="2"/>
        <v>0</v>
      </c>
      <c r="AH11" s="119"/>
      <c r="AI11" s="119"/>
      <c r="AJ11" s="210"/>
      <c r="AK11" s="210"/>
      <c r="AL11" s="119"/>
      <c r="AM11" s="210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21"/>
      <c r="BB11" s="124">
        <f t="shared" si="3"/>
        <v>0</v>
      </c>
    </row>
    <row r="12">
      <c r="A12" s="115"/>
      <c r="B12" s="116">
        <v>3.0</v>
      </c>
      <c r="C12" s="147" t="s">
        <v>9</v>
      </c>
      <c r="D12" s="118"/>
      <c r="E12" s="119"/>
      <c r="F12" s="119"/>
      <c r="G12" s="119"/>
      <c r="H12" s="119"/>
      <c r="I12" s="119"/>
      <c r="J12" s="119"/>
      <c r="K12" s="120">
        <f t="shared" si="1"/>
        <v>0</v>
      </c>
      <c r="L12" s="121"/>
      <c r="M12" s="211"/>
      <c r="N12" s="119"/>
      <c r="O12" s="210"/>
      <c r="P12" s="210"/>
      <c r="Q12" s="119"/>
      <c r="R12" s="119"/>
      <c r="S12" s="210"/>
      <c r="T12" s="149">
        <v>1.0</v>
      </c>
      <c r="U12" s="210"/>
      <c r="V12" s="210"/>
      <c r="W12" s="210"/>
      <c r="X12" s="210"/>
      <c r="Y12" s="210"/>
      <c r="Z12" s="210"/>
      <c r="AA12" s="210"/>
      <c r="AB12" s="210"/>
      <c r="AC12" s="119"/>
      <c r="AD12" s="119"/>
      <c r="AE12" s="119"/>
      <c r="AF12" s="121"/>
      <c r="AG12" s="124">
        <f t="shared" si="2"/>
        <v>1</v>
      </c>
      <c r="AH12" s="149" t="s">
        <v>102</v>
      </c>
      <c r="AI12" s="119"/>
      <c r="AJ12" s="119"/>
      <c r="AK12" s="119"/>
      <c r="AL12" s="119"/>
      <c r="AM12" s="119"/>
      <c r="AN12" s="210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21"/>
      <c r="BB12" s="124">
        <f t="shared" si="3"/>
        <v>1</v>
      </c>
    </row>
    <row r="13">
      <c r="A13" s="115"/>
      <c r="B13" s="127">
        <v>4.0</v>
      </c>
      <c r="C13" s="137" t="s">
        <v>10</v>
      </c>
      <c r="D13" s="118"/>
      <c r="E13" s="119"/>
      <c r="F13" s="119"/>
      <c r="G13" s="119"/>
      <c r="H13" s="119"/>
      <c r="I13" s="119"/>
      <c r="J13" s="119"/>
      <c r="K13" s="120">
        <f t="shared" si="1"/>
        <v>0</v>
      </c>
      <c r="L13" s="121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21"/>
      <c r="AG13" s="124">
        <f t="shared" si="2"/>
        <v>0</v>
      </c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21"/>
      <c r="BB13" s="124">
        <f t="shared" si="3"/>
        <v>0</v>
      </c>
    </row>
    <row r="14">
      <c r="A14" s="115"/>
      <c r="B14" s="116">
        <v>5.0</v>
      </c>
      <c r="C14" s="138" t="s">
        <v>78</v>
      </c>
      <c r="D14" s="118"/>
      <c r="E14" s="119"/>
      <c r="F14" s="119"/>
      <c r="G14" s="119"/>
      <c r="H14" s="119"/>
      <c r="I14" s="119"/>
      <c r="J14" s="119"/>
      <c r="K14" s="120">
        <f t="shared" si="1"/>
        <v>0</v>
      </c>
      <c r="L14" s="121"/>
      <c r="M14" s="119"/>
      <c r="N14" s="119"/>
      <c r="O14" s="134" t="s">
        <v>102</v>
      </c>
      <c r="P14" s="149" t="s">
        <v>102</v>
      </c>
      <c r="Q14" s="151"/>
      <c r="R14" s="151"/>
      <c r="S14" s="151"/>
      <c r="T14" s="151"/>
      <c r="U14" s="149" t="s">
        <v>102</v>
      </c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21"/>
      <c r="AG14" s="124">
        <f t="shared" si="2"/>
        <v>0</v>
      </c>
      <c r="AH14" s="119"/>
      <c r="AI14" s="119"/>
      <c r="AJ14" s="149" t="s">
        <v>102</v>
      </c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21"/>
      <c r="BB14" s="124">
        <f t="shared" si="3"/>
        <v>0</v>
      </c>
    </row>
    <row r="15">
      <c r="A15" s="115"/>
      <c r="B15" s="127">
        <v>6.0</v>
      </c>
      <c r="C15" s="128" t="s">
        <v>11</v>
      </c>
      <c r="D15" s="118"/>
      <c r="E15" s="119"/>
      <c r="F15" s="119"/>
      <c r="G15" s="119"/>
      <c r="H15" s="119"/>
      <c r="I15" s="119"/>
      <c r="J15" s="119"/>
      <c r="K15" s="120">
        <f t="shared" si="1"/>
        <v>0</v>
      </c>
      <c r="L15" s="121"/>
      <c r="M15" s="119"/>
      <c r="N15" s="119"/>
      <c r="O15" s="129" t="s">
        <v>102</v>
      </c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21"/>
      <c r="AG15" s="124">
        <f t="shared" si="2"/>
        <v>0</v>
      </c>
      <c r="AH15" s="119"/>
      <c r="AI15" s="119"/>
      <c r="AJ15" s="149" t="s">
        <v>102</v>
      </c>
      <c r="AK15" s="149" t="s">
        <v>102</v>
      </c>
      <c r="AL15" s="149" t="s">
        <v>102</v>
      </c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21"/>
      <c r="BB15" s="124">
        <f t="shared" si="3"/>
        <v>0</v>
      </c>
    </row>
    <row r="16">
      <c r="A16" s="115"/>
      <c r="B16" s="116">
        <v>7.0</v>
      </c>
      <c r="C16" s="128" t="s">
        <v>12</v>
      </c>
      <c r="D16" s="118"/>
      <c r="E16" s="119"/>
      <c r="F16" s="119"/>
      <c r="G16" s="119"/>
      <c r="H16" s="119"/>
      <c r="I16" s="119"/>
      <c r="J16" s="119"/>
      <c r="K16" s="120">
        <f t="shared" si="1"/>
        <v>0</v>
      </c>
      <c r="L16" s="121"/>
      <c r="M16" s="119"/>
      <c r="N16" s="119"/>
      <c r="O16" s="119"/>
      <c r="P16" s="129" t="s">
        <v>102</v>
      </c>
      <c r="Q16" s="119"/>
      <c r="R16" s="119"/>
      <c r="S16" s="125">
        <v>1.0</v>
      </c>
      <c r="T16" s="129" t="s">
        <v>102</v>
      </c>
      <c r="U16" s="119"/>
      <c r="V16" s="119"/>
      <c r="W16" s="129" t="s">
        <v>102</v>
      </c>
      <c r="X16" s="119"/>
      <c r="Y16" s="129" t="s">
        <v>102</v>
      </c>
      <c r="Z16" s="119"/>
      <c r="AA16" s="119"/>
      <c r="AB16" s="119"/>
      <c r="AC16" s="119"/>
      <c r="AD16" s="119"/>
      <c r="AE16" s="119"/>
      <c r="AF16" s="121"/>
      <c r="AG16" s="124">
        <f t="shared" si="2"/>
        <v>1</v>
      </c>
      <c r="AH16" s="119"/>
      <c r="AI16" s="119"/>
      <c r="AJ16" s="149" t="s">
        <v>102</v>
      </c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21"/>
      <c r="BB16" s="124">
        <f t="shared" si="3"/>
        <v>1</v>
      </c>
    </row>
    <row r="17">
      <c r="A17" s="115"/>
      <c r="B17" s="127">
        <v>8.0</v>
      </c>
      <c r="C17" s="128" t="s">
        <v>80</v>
      </c>
      <c r="D17" s="118"/>
      <c r="E17" s="119"/>
      <c r="F17" s="119"/>
      <c r="G17" s="119"/>
      <c r="H17" s="119"/>
      <c r="I17" s="119"/>
      <c r="J17" s="119"/>
      <c r="K17" s="120">
        <f t="shared" si="1"/>
        <v>0</v>
      </c>
      <c r="L17" s="121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21"/>
      <c r="AG17" s="124">
        <f t="shared" si="2"/>
        <v>0</v>
      </c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21"/>
      <c r="BB17" s="124">
        <f t="shared" si="3"/>
        <v>0</v>
      </c>
    </row>
    <row r="18">
      <c r="A18" s="115"/>
      <c r="B18" s="116">
        <v>9.0</v>
      </c>
      <c r="C18" s="128" t="s">
        <v>81</v>
      </c>
      <c r="D18" s="118"/>
      <c r="E18" s="119"/>
      <c r="F18" s="119"/>
      <c r="G18" s="119"/>
      <c r="H18" s="119"/>
      <c r="I18" s="119"/>
      <c r="J18" s="119"/>
      <c r="K18" s="120">
        <f t="shared" si="1"/>
        <v>0</v>
      </c>
      <c r="L18" s="121"/>
      <c r="M18" s="129" t="s">
        <v>102</v>
      </c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21"/>
      <c r="AG18" s="124">
        <f t="shared" si="2"/>
        <v>0</v>
      </c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21"/>
      <c r="BB18" s="124">
        <f t="shared" si="3"/>
        <v>0</v>
      </c>
    </row>
    <row r="19">
      <c r="A19" s="115"/>
      <c r="B19" s="127">
        <v>10.0</v>
      </c>
      <c r="C19" s="128" t="s">
        <v>27</v>
      </c>
      <c r="D19" s="118"/>
      <c r="E19" s="119"/>
      <c r="F19" s="119"/>
      <c r="G19" s="119"/>
      <c r="H19" s="119"/>
      <c r="I19" s="119"/>
      <c r="J19" s="119"/>
      <c r="K19" s="120">
        <f t="shared" si="1"/>
        <v>0</v>
      </c>
      <c r="L19" s="121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29" t="s">
        <v>102</v>
      </c>
      <c r="AA19" s="119"/>
      <c r="AB19" s="119"/>
      <c r="AC19" s="119"/>
      <c r="AD19" s="119"/>
      <c r="AE19" s="119"/>
      <c r="AF19" s="121"/>
      <c r="AG19" s="124">
        <f t="shared" si="2"/>
        <v>0</v>
      </c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21"/>
      <c r="BB19" s="124">
        <f t="shared" si="3"/>
        <v>0</v>
      </c>
    </row>
    <row r="20">
      <c r="A20" s="115"/>
      <c r="B20" s="116">
        <v>11.0</v>
      </c>
      <c r="C20" s="128" t="s">
        <v>28</v>
      </c>
      <c r="D20" s="118"/>
      <c r="E20" s="119"/>
      <c r="F20" s="119"/>
      <c r="G20" s="119"/>
      <c r="H20" s="119"/>
      <c r="I20" s="119"/>
      <c r="J20" s="119"/>
      <c r="K20" s="120">
        <f t="shared" si="1"/>
        <v>0</v>
      </c>
      <c r="L20" s="121"/>
      <c r="M20" s="119"/>
      <c r="N20" s="119"/>
      <c r="O20" s="119"/>
      <c r="P20" s="119"/>
      <c r="Q20" s="129" t="s">
        <v>102</v>
      </c>
      <c r="R20" s="119"/>
      <c r="S20" s="119"/>
      <c r="T20" s="119"/>
      <c r="U20" s="119"/>
      <c r="V20" s="119"/>
      <c r="W20" s="119"/>
      <c r="X20" s="129" t="s">
        <v>102</v>
      </c>
      <c r="Y20" s="119"/>
      <c r="Z20" s="119"/>
      <c r="AA20" s="119"/>
      <c r="AB20" s="119"/>
      <c r="AC20" s="119"/>
      <c r="AD20" s="119"/>
      <c r="AE20" s="119"/>
      <c r="AF20" s="121"/>
      <c r="AG20" s="124">
        <f t="shared" si="2"/>
        <v>0</v>
      </c>
      <c r="AH20" s="119"/>
      <c r="AI20" s="149" t="s">
        <v>102</v>
      </c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21"/>
      <c r="BB20" s="124">
        <f t="shared" si="3"/>
        <v>0</v>
      </c>
    </row>
    <row r="21">
      <c r="A21" s="115"/>
      <c r="B21" s="127">
        <v>12.0</v>
      </c>
      <c r="C21" s="128" t="s">
        <v>32</v>
      </c>
      <c r="D21" s="118"/>
      <c r="E21" s="119"/>
      <c r="F21" s="119"/>
      <c r="G21" s="119"/>
      <c r="H21" s="119"/>
      <c r="I21" s="119"/>
      <c r="J21" s="119"/>
      <c r="K21" s="120">
        <f t="shared" si="1"/>
        <v>0</v>
      </c>
      <c r="L21" s="121"/>
      <c r="M21" s="129" t="s">
        <v>102</v>
      </c>
      <c r="N21" s="119"/>
      <c r="O21" s="129" t="s">
        <v>102</v>
      </c>
      <c r="P21" s="119"/>
      <c r="Q21" s="119"/>
      <c r="R21" s="129" t="s">
        <v>102</v>
      </c>
      <c r="S21" s="119"/>
      <c r="T21" s="129" t="s">
        <v>102</v>
      </c>
      <c r="U21" s="119"/>
      <c r="V21" s="119"/>
      <c r="W21" s="119"/>
      <c r="X21" s="129" t="s">
        <v>102</v>
      </c>
      <c r="Y21" s="125">
        <v>1.0</v>
      </c>
      <c r="Z21" s="119"/>
      <c r="AA21" s="119"/>
      <c r="AB21" s="119"/>
      <c r="AC21" s="119"/>
      <c r="AD21" s="119"/>
      <c r="AE21" s="119"/>
      <c r="AF21" s="121"/>
      <c r="AG21" s="124">
        <f t="shared" si="2"/>
        <v>1</v>
      </c>
      <c r="AH21" s="125">
        <v>1.0</v>
      </c>
      <c r="AI21" s="119"/>
      <c r="AJ21" s="149" t="s">
        <v>102</v>
      </c>
      <c r="AK21" s="119"/>
      <c r="AL21" s="149" t="s">
        <v>102</v>
      </c>
      <c r="AM21" s="149" t="s">
        <v>102</v>
      </c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21"/>
      <c r="BB21" s="124">
        <f t="shared" si="3"/>
        <v>2</v>
      </c>
    </row>
    <row r="22">
      <c r="A22" s="115"/>
      <c r="B22" s="116">
        <v>13.0</v>
      </c>
      <c r="C22" s="147" t="s">
        <v>82</v>
      </c>
      <c r="D22" s="118"/>
      <c r="E22" s="119"/>
      <c r="F22" s="119"/>
      <c r="G22" s="119"/>
      <c r="H22" s="119"/>
      <c r="I22" s="119"/>
      <c r="J22" s="119"/>
      <c r="K22" s="120">
        <f t="shared" si="1"/>
        <v>0</v>
      </c>
      <c r="L22" s="121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21"/>
      <c r="AG22" s="124">
        <f t="shared" si="2"/>
        <v>0</v>
      </c>
      <c r="AH22" s="119"/>
      <c r="AI22" s="119"/>
      <c r="AJ22" s="119"/>
      <c r="AK22" s="149" t="s">
        <v>102</v>
      </c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21"/>
      <c r="BB22" s="124">
        <f t="shared" si="3"/>
        <v>0</v>
      </c>
    </row>
    <row r="23">
      <c r="A23" s="115"/>
      <c r="B23" s="127">
        <v>14.0</v>
      </c>
      <c r="C23" s="128" t="s">
        <v>31</v>
      </c>
      <c r="D23" s="118"/>
      <c r="E23" s="119"/>
      <c r="F23" s="119"/>
      <c r="G23" s="119"/>
      <c r="H23" s="119"/>
      <c r="I23" s="119"/>
      <c r="J23" s="119"/>
      <c r="K23" s="120">
        <f t="shared" si="1"/>
        <v>0</v>
      </c>
      <c r="L23" s="121"/>
      <c r="M23" s="129" t="s">
        <v>102</v>
      </c>
      <c r="N23" s="129" t="s">
        <v>102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21"/>
      <c r="AG23" s="124">
        <f t="shared" si="2"/>
        <v>0</v>
      </c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21"/>
      <c r="BB23" s="124">
        <f t="shared" si="3"/>
        <v>0</v>
      </c>
    </row>
    <row r="24">
      <c r="A24" s="115"/>
      <c r="B24" s="116">
        <v>15.0</v>
      </c>
      <c r="C24" s="128" t="s">
        <v>83</v>
      </c>
      <c r="D24" s="118"/>
      <c r="E24" s="119"/>
      <c r="F24" s="119"/>
      <c r="G24" s="119"/>
      <c r="H24" s="119"/>
      <c r="I24" s="119"/>
      <c r="J24" s="119"/>
      <c r="K24" s="120">
        <f t="shared" si="1"/>
        <v>0</v>
      </c>
      <c r="L24" s="121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21"/>
      <c r="AG24" s="124">
        <f t="shared" si="2"/>
        <v>0</v>
      </c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21"/>
      <c r="BB24" s="124">
        <f t="shared" si="3"/>
        <v>0</v>
      </c>
    </row>
    <row r="25">
      <c r="A25" s="115"/>
      <c r="B25" s="148">
        <v>16.0</v>
      </c>
      <c r="C25" s="128" t="s">
        <v>29</v>
      </c>
      <c r="D25" s="118"/>
      <c r="E25" s="119"/>
      <c r="F25" s="119"/>
      <c r="G25" s="119"/>
      <c r="H25" s="119"/>
      <c r="I25" s="119"/>
      <c r="J25" s="119"/>
      <c r="K25" s="120">
        <f t="shared" si="1"/>
        <v>0</v>
      </c>
      <c r="L25" s="121"/>
      <c r="M25" s="119"/>
      <c r="N25" s="119"/>
      <c r="O25" s="119"/>
      <c r="P25" s="119"/>
      <c r="Q25" s="129" t="s">
        <v>102</v>
      </c>
      <c r="R25" s="119"/>
      <c r="S25" s="119"/>
      <c r="T25" s="119"/>
      <c r="U25" s="119"/>
      <c r="V25" s="119"/>
      <c r="W25" s="129" t="s">
        <v>102</v>
      </c>
      <c r="X25" s="125">
        <v>1.0</v>
      </c>
      <c r="Y25" s="119"/>
      <c r="Z25" s="133" t="s">
        <v>103</v>
      </c>
      <c r="AA25" s="119"/>
      <c r="AB25" s="119"/>
      <c r="AC25" s="119"/>
      <c r="AD25" s="119"/>
      <c r="AE25" s="119"/>
      <c r="AF25" s="121"/>
      <c r="AG25" s="124">
        <f t="shared" si="2"/>
        <v>1</v>
      </c>
      <c r="AH25" s="119"/>
      <c r="AI25" s="119"/>
      <c r="AJ25" s="133" t="s">
        <v>103</v>
      </c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21"/>
      <c r="BB25" s="124">
        <f t="shared" si="3"/>
        <v>1</v>
      </c>
    </row>
    <row r="26">
      <c r="A26" s="115"/>
      <c r="B26" s="116">
        <v>17.0</v>
      </c>
      <c r="C26" s="147" t="s">
        <v>33</v>
      </c>
      <c r="D26" s="118"/>
      <c r="E26" s="119"/>
      <c r="F26" s="119"/>
      <c r="G26" s="119"/>
      <c r="H26" s="119"/>
      <c r="I26" s="119"/>
      <c r="J26" s="119"/>
      <c r="K26" s="120">
        <f t="shared" si="1"/>
        <v>0</v>
      </c>
      <c r="L26" s="121"/>
      <c r="M26" s="119"/>
      <c r="N26" s="119"/>
      <c r="O26" s="119"/>
      <c r="P26" s="119"/>
      <c r="Q26" s="119"/>
      <c r="R26" s="119"/>
      <c r="S26" s="119"/>
      <c r="T26" s="125">
        <v>1.0</v>
      </c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21"/>
      <c r="AG26" s="124">
        <f t="shared" si="2"/>
        <v>1</v>
      </c>
      <c r="AH26" s="149" t="s">
        <v>102</v>
      </c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21"/>
      <c r="BB26" s="124">
        <f t="shared" si="3"/>
        <v>1</v>
      </c>
    </row>
    <row r="27">
      <c r="A27" s="115"/>
      <c r="B27" s="150">
        <v>18.0</v>
      </c>
      <c r="C27" s="128" t="s">
        <v>34</v>
      </c>
      <c r="D27" s="118"/>
      <c r="E27" s="119"/>
      <c r="F27" s="119"/>
      <c r="G27" s="119"/>
      <c r="H27" s="119"/>
      <c r="I27" s="119"/>
      <c r="J27" s="119"/>
      <c r="K27" s="132">
        <f t="shared" si="1"/>
        <v>0</v>
      </c>
      <c r="L27" s="121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29" t="s">
        <v>102</v>
      </c>
      <c r="AA27" s="119"/>
      <c r="AB27" s="119"/>
      <c r="AC27" s="119"/>
      <c r="AD27" s="119"/>
      <c r="AE27" s="119"/>
      <c r="AF27" s="121"/>
      <c r="AG27" s="124">
        <f t="shared" si="2"/>
        <v>0</v>
      </c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21"/>
      <c r="BB27" s="124">
        <f t="shared" si="3"/>
        <v>0</v>
      </c>
    </row>
    <row r="28">
      <c r="A28" s="115"/>
      <c r="B28" s="116">
        <v>19.0</v>
      </c>
      <c r="C28" s="128" t="s">
        <v>84</v>
      </c>
      <c r="D28" s="118"/>
      <c r="E28" s="119"/>
      <c r="F28" s="119"/>
      <c r="G28" s="119"/>
      <c r="H28" s="119"/>
      <c r="I28" s="119"/>
      <c r="J28" s="119"/>
      <c r="K28" s="132">
        <f t="shared" si="1"/>
        <v>0</v>
      </c>
      <c r="L28" s="121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21"/>
      <c r="AG28" s="124">
        <f t="shared" si="2"/>
        <v>0</v>
      </c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21"/>
      <c r="BB28" s="124">
        <f t="shared" si="3"/>
        <v>0</v>
      </c>
    </row>
    <row r="29">
      <c r="A29" s="115"/>
      <c r="B29" s="127">
        <v>20.0</v>
      </c>
      <c r="C29" s="128" t="s">
        <v>85</v>
      </c>
      <c r="D29" s="118"/>
      <c r="E29" s="119"/>
      <c r="F29" s="119"/>
      <c r="G29" s="119"/>
      <c r="H29" s="119"/>
      <c r="I29" s="119"/>
      <c r="J29" s="119"/>
      <c r="K29" s="132">
        <f t="shared" si="1"/>
        <v>0</v>
      </c>
      <c r="L29" s="121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21"/>
      <c r="AG29" s="124">
        <f t="shared" si="2"/>
        <v>0</v>
      </c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21"/>
      <c r="BB29" s="124">
        <f t="shared" si="3"/>
        <v>0</v>
      </c>
    </row>
    <row r="30">
      <c r="A30" s="115"/>
      <c r="B30" s="116">
        <v>21.0</v>
      </c>
      <c r="C30" s="128" t="s">
        <v>86</v>
      </c>
      <c r="D30" s="118"/>
      <c r="E30" s="119"/>
      <c r="F30" s="119"/>
      <c r="G30" s="119"/>
      <c r="H30" s="119"/>
      <c r="I30" s="119"/>
      <c r="J30" s="119"/>
      <c r="K30" s="132">
        <f t="shared" si="1"/>
        <v>0</v>
      </c>
      <c r="L30" s="121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21"/>
      <c r="AG30" s="124">
        <f t="shared" si="2"/>
        <v>0</v>
      </c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21"/>
      <c r="BB30" s="124">
        <f t="shared" si="3"/>
        <v>0</v>
      </c>
    </row>
    <row r="31">
      <c r="A31" s="115"/>
      <c r="B31" s="127">
        <v>22.0</v>
      </c>
      <c r="C31" s="128" t="s">
        <v>37</v>
      </c>
      <c r="D31" s="118"/>
      <c r="E31" s="119"/>
      <c r="F31" s="119"/>
      <c r="G31" s="119"/>
      <c r="H31" s="119"/>
      <c r="I31" s="119"/>
      <c r="J31" s="119"/>
      <c r="K31" s="132">
        <f t="shared" si="1"/>
        <v>0</v>
      </c>
      <c r="L31" s="121"/>
      <c r="M31" s="119"/>
      <c r="N31" s="119"/>
      <c r="O31" s="119"/>
      <c r="P31" s="119"/>
      <c r="Q31" s="125">
        <v>1.0</v>
      </c>
      <c r="R31" s="119"/>
      <c r="S31" s="119"/>
      <c r="T31" s="125">
        <v>1.0</v>
      </c>
      <c r="U31" s="119"/>
      <c r="V31" s="119"/>
      <c r="W31" s="119"/>
      <c r="X31" s="119"/>
      <c r="Y31" s="119"/>
      <c r="Z31" s="129" t="s">
        <v>102</v>
      </c>
      <c r="AA31" s="125">
        <v>1.0</v>
      </c>
      <c r="AB31" s="119"/>
      <c r="AC31" s="119"/>
      <c r="AD31" s="119"/>
      <c r="AE31" s="119"/>
      <c r="AF31" s="121"/>
      <c r="AG31" s="124">
        <f t="shared" si="2"/>
        <v>3</v>
      </c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21"/>
      <c r="BB31" s="124">
        <f t="shared" si="3"/>
        <v>3</v>
      </c>
    </row>
    <row r="32">
      <c r="A32" s="115"/>
      <c r="B32" s="116">
        <v>23.0</v>
      </c>
      <c r="C32" s="128" t="s">
        <v>39</v>
      </c>
      <c r="D32" s="118"/>
      <c r="E32" s="119"/>
      <c r="F32" s="119"/>
      <c r="G32" s="119"/>
      <c r="H32" s="119"/>
      <c r="I32" s="119"/>
      <c r="J32" s="119"/>
      <c r="K32" s="132">
        <f t="shared" si="1"/>
        <v>0</v>
      </c>
      <c r="L32" s="121"/>
      <c r="M32" s="119"/>
      <c r="N32" s="125">
        <v>1.0</v>
      </c>
      <c r="O32" s="125">
        <v>1.0</v>
      </c>
      <c r="P32" s="119"/>
      <c r="Q32" s="133" t="s">
        <v>103</v>
      </c>
      <c r="R32" s="119"/>
      <c r="S32" s="119"/>
      <c r="T32" s="119"/>
      <c r="U32" s="119"/>
      <c r="V32" s="125">
        <v>1.0</v>
      </c>
      <c r="W32" s="119"/>
      <c r="X32" s="119"/>
      <c r="Y32" s="119"/>
      <c r="Z32" s="119"/>
      <c r="AA32" s="119"/>
      <c r="AB32" s="119"/>
      <c r="AC32" s="119"/>
      <c r="AD32" s="119"/>
      <c r="AE32" s="119"/>
      <c r="AF32" s="121"/>
      <c r="AG32" s="124">
        <f t="shared" si="2"/>
        <v>3</v>
      </c>
      <c r="AH32" s="119"/>
      <c r="AI32" s="177">
        <v>2.0</v>
      </c>
      <c r="AJ32" s="177">
        <v>2.0</v>
      </c>
      <c r="AK32" s="119"/>
      <c r="AL32" s="125">
        <v>1.0</v>
      </c>
      <c r="AM32" s="125">
        <v>1.0</v>
      </c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21"/>
      <c r="BB32" s="124">
        <f t="shared" si="3"/>
        <v>9</v>
      </c>
    </row>
    <row r="33">
      <c r="A33" s="115"/>
      <c r="B33" s="127">
        <v>24.0</v>
      </c>
      <c r="C33" s="128" t="s">
        <v>38</v>
      </c>
      <c r="D33" s="118"/>
      <c r="E33" s="119"/>
      <c r="F33" s="119"/>
      <c r="G33" s="119"/>
      <c r="H33" s="119"/>
      <c r="I33" s="119"/>
      <c r="J33" s="119"/>
      <c r="K33" s="132">
        <f t="shared" si="1"/>
        <v>0</v>
      </c>
      <c r="L33" s="121"/>
      <c r="M33" s="119"/>
      <c r="N33" s="119"/>
      <c r="O33" s="119"/>
      <c r="P33" s="125">
        <v>1.0</v>
      </c>
      <c r="Q33" s="119"/>
      <c r="R33" s="119"/>
      <c r="S33" s="119"/>
      <c r="T33" s="119"/>
      <c r="U33" s="149" t="s">
        <v>102</v>
      </c>
      <c r="V33" s="149" t="s">
        <v>102</v>
      </c>
      <c r="W33" s="119"/>
      <c r="X33" s="119"/>
      <c r="Y33" s="119"/>
      <c r="Z33" s="119"/>
      <c r="AA33" s="119"/>
      <c r="AB33" s="119"/>
      <c r="AC33" s="119"/>
      <c r="AD33" s="119"/>
      <c r="AE33" s="119"/>
      <c r="AF33" s="121"/>
      <c r="AG33" s="124">
        <f t="shared" si="2"/>
        <v>1</v>
      </c>
      <c r="AH33" s="119"/>
      <c r="AI33" s="119"/>
      <c r="AJ33" s="149" t="s">
        <v>102</v>
      </c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21"/>
      <c r="BB33" s="124">
        <f t="shared" si="3"/>
        <v>1</v>
      </c>
    </row>
    <row r="34">
      <c r="A34" s="115"/>
      <c r="B34" s="116">
        <v>25.0</v>
      </c>
      <c r="C34" s="138" t="s">
        <v>87</v>
      </c>
      <c r="D34" s="118"/>
      <c r="E34" s="119"/>
      <c r="F34" s="119"/>
      <c r="G34" s="119"/>
      <c r="H34" s="119"/>
      <c r="I34" s="119"/>
      <c r="J34" s="119"/>
      <c r="K34" s="132">
        <f t="shared" si="1"/>
        <v>0</v>
      </c>
      <c r="L34" s="121"/>
      <c r="M34" s="119"/>
      <c r="N34" s="119"/>
      <c r="O34" s="119"/>
      <c r="P34" s="119"/>
      <c r="Q34" s="119"/>
      <c r="R34" s="119"/>
      <c r="S34" s="119"/>
      <c r="T34" s="125">
        <v>2.0</v>
      </c>
      <c r="U34" s="119"/>
      <c r="V34" s="125">
        <v>1.0</v>
      </c>
      <c r="W34" s="129" t="s">
        <v>102</v>
      </c>
      <c r="X34" s="119"/>
      <c r="Y34" s="119"/>
      <c r="Z34" s="125">
        <v>1.0</v>
      </c>
      <c r="AA34" s="119"/>
      <c r="AB34" s="119"/>
      <c r="AC34" s="119"/>
      <c r="AD34" s="119"/>
      <c r="AE34" s="119"/>
      <c r="AF34" s="121"/>
      <c r="AG34" s="124">
        <f t="shared" si="2"/>
        <v>4</v>
      </c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21"/>
      <c r="BB34" s="124">
        <f t="shared" si="3"/>
        <v>4</v>
      </c>
    </row>
    <row r="35">
      <c r="A35" s="115"/>
      <c r="B35" s="127">
        <v>26.0</v>
      </c>
      <c r="C35" s="131" t="s">
        <v>88</v>
      </c>
      <c r="D35" s="118"/>
      <c r="E35" s="119"/>
      <c r="F35" s="119"/>
      <c r="G35" s="119"/>
      <c r="H35" s="119"/>
      <c r="I35" s="119"/>
      <c r="J35" s="119"/>
      <c r="K35" s="132">
        <f t="shared" si="1"/>
        <v>0</v>
      </c>
      <c r="L35" s="121"/>
      <c r="M35" s="119"/>
      <c r="N35" s="119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21"/>
      <c r="AG35" s="124">
        <f t="shared" si="2"/>
        <v>0</v>
      </c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21"/>
      <c r="BB35" s="124">
        <f t="shared" si="3"/>
        <v>0</v>
      </c>
    </row>
    <row r="36">
      <c r="A36" s="115"/>
      <c r="B36" s="116">
        <v>27.0</v>
      </c>
      <c r="C36" s="131" t="s">
        <v>89</v>
      </c>
      <c r="D36" s="118"/>
      <c r="E36" s="119"/>
      <c r="F36" s="119"/>
      <c r="G36" s="119"/>
      <c r="H36" s="119"/>
      <c r="I36" s="119"/>
      <c r="J36" s="119"/>
      <c r="K36" s="132">
        <f t="shared" si="1"/>
        <v>0</v>
      </c>
      <c r="L36" s="121"/>
      <c r="M36" s="119"/>
      <c r="N36" s="119"/>
      <c r="O36" s="151"/>
      <c r="P36" s="151"/>
      <c r="Q36" s="151"/>
      <c r="R36" s="151"/>
      <c r="S36" s="151"/>
      <c r="T36" s="133" t="s">
        <v>103</v>
      </c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21"/>
      <c r="AG36" s="124">
        <f t="shared" si="2"/>
        <v>0</v>
      </c>
      <c r="AH36" s="125">
        <v>1.0</v>
      </c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21"/>
      <c r="BB36" s="124">
        <f t="shared" si="3"/>
        <v>1</v>
      </c>
    </row>
    <row r="37">
      <c r="A37" s="115"/>
      <c r="B37" s="127">
        <v>28.0</v>
      </c>
      <c r="C37" s="147" t="s">
        <v>90</v>
      </c>
      <c r="D37" s="118"/>
      <c r="E37" s="119"/>
      <c r="F37" s="119"/>
      <c r="G37" s="119"/>
      <c r="H37" s="119"/>
      <c r="I37" s="119"/>
      <c r="J37" s="119"/>
      <c r="K37" s="132">
        <f t="shared" si="1"/>
        <v>0</v>
      </c>
      <c r="L37" s="121"/>
      <c r="M37" s="153"/>
      <c r="N37" s="153"/>
      <c r="O37" s="153"/>
      <c r="P37" s="153"/>
      <c r="Q37" s="153"/>
      <c r="R37" s="153"/>
      <c r="S37" s="153"/>
      <c r="T37" s="122"/>
      <c r="U37" s="153"/>
      <c r="V37" s="122"/>
      <c r="W37" s="122"/>
      <c r="X37" s="153"/>
      <c r="Y37" s="153"/>
      <c r="Z37" s="122"/>
      <c r="AA37" s="153"/>
      <c r="AB37" s="153"/>
      <c r="AC37" s="153"/>
      <c r="AD37" s="153"/>
      <c r="AE37" s="119"/>
      <c r="AF37" s="121"/>
      <c r="AG37" s="124">
        <f t="shared" si="2"/>
        <v>0</v>
      </c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21"/>
      <c r="BB37" s="124">
        <f t="shared" si="3"/>
        <v>0</v>
      </c>
    </row>
    <row r="38">
      <c r="A38" s="115"/>
      <c r="B38" s="116">
        <v>29.0</v>
      </c>
      <c r="C38" s="212" t="s">
        <v>91</v>
      </c>
      <c r="D38" s="118"/>
      <c r="E38" s="119"/>
      <c r="F38" s="119"/>
      <c r="G38" s="119"/>
      <c r="H38" s="119"/>
      <c r="I38" s="119"/>
      <c r="J38" s="119"/>
      <c r="K38" s="132">
        <f t="shared" si="1"/>
        <v>0</v>
      </c>
      <c r="L38" s="121"/>
      <c r="M38" s="119"/>
      <c r="N38" s="119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21"/>
      <c r="AG38" s="124">
        <f t="shared" si="2"/>
        <v>0</v>
      </c>
      <c r="AH38" s="119"/>
      <c r="AI38" s="119"/>
      <c r="AJ38" s="119"/>
      <c r="AK38" s="149" t="s">
        <v>102</v>
      </c>
      <c r="AL38" s="119"/>
      <c r="AM38" s="119"/>
      <c r="AN38" s="119"/>
      <c r="AO38" s="119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8"/>
      <c r="BA38" s="121"/>
      <c r="BB38" s="124">
        <f t="shared" si="3"/>
        <v>0</v>
      </c>
    </row>
    <row r="39">
      <c r="A39" s="115"/>
      <c r="B39" s="159">
        <v>30.0</v>
      </c>
      <c r="C39" s="147" t="s">
        <v>92</v>
      </c>
      <c r="D39" s="118"/>
      <c r="E39" s="119"/>
      <c r="F39" s="119"/>
      <c r="G39" s="119"/>
      <c r="H39" s="119"/>
      <c r="I39" s="119"/>
      <c r="J39" s="119"/>
      <c r="K39" s="160">
        <f t="shared" si="1"/>
        <v>0</v>
      </c>
      <c r="L39" s="121"/>
      <c r="M39" s="213"/>
      <c r="N39" s="213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21"/>
      <c r="AG39" s="163">
        <f t="shared" si="2"/>
        <v>0</v>
      </c>
      <c r="AH39" s="162"/>
      <c r="AI39" s="162"/>
      <c r="AJ39" s="164"/>
      <c r="AK39" s="164"/>
      <c r="AL39" s="162"/>
      <c r="AM39" s="162"/>
      <c r="AN39" s="162"/>
      <c r="AO39" s="119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5"/>
      <c r="BA39" s="121"/>
      <c r="BB39" s="124">
        <f t="shared" si="3"/>
        <v>0</v>
      </c>
    </row>
    <row r="40">
      <c r="A40" s="166"/>
      <c r="B40" s="167" t="s">
        <v>93</v>
      </c>
      <c r="C40" s="168"/>
      <c r="D40" s="168"/>
      <c r="E40" s="169"/>
      <c r="F40" s="170"/>
      <c r="G40" s="170"/>
      <c r="H40" s="170"/>
      <c r="I40" s="170"/>
      <c r="J40" s="170"/>
      <c r="K40" s="160">
        <f t="shared" si="1"/>
        <v>0</v>
      </c>
      <c r="L40" s="121"/>
      <c r="M40" s="171">
        <f t="array" ref="M40:AE40">DAKIKA!M40:AE40</f>
        <v>0</v>
      </c>
      <c r="N40" s="172">
        <v>1.0</v>
      </c>
      <c r="O40" s="173">
        <v>1.0</v>
      </c>
      <c r="P40" s="172">
        <v>1.0</v>
      </c>
      <c r="Q40" s="172">
        <v>1.0</v>
      </c>
      <c r="R40" s="172">
        <v>0.0</v>
      </c>
      <c r="S40" s="173">
        <v>1.0</v>
      </c>
      <c r="T40" s="174">
        <v>5.0</v>
      </c>
      <c r="U40" s="172">
        <v>0.0</v>
      </c>
      <c r="V40" s="174">
        <v>2.0</v>
      </c>
      <c r="W40" s="173">
        <v>0.0</v>
      </c>
      <c r="X40" s="174">
        <v>1.0</v>
      </c>
      <c r="Y40" s="173">
        <v>1.0</v>
      </c>
      <c r="Z40" s="174">
        <v>1.0</v>
      </c>
      <c r="AA40" s="173">
        <v>1.0</v>
      </c>
      <c r="AB40" s="170"/>
      <c r="AC40" s="170"/>
      <c r="AD40" s="170"/>
      <c r="AE40" s="175"/>
      <c r="AF40" s="121"/>
      <c r="AG40" s="132">
        <f t="shared" si="2"/>
        <v>16</v>
      </c>
      <c r="AH40" s="177">
        <v>2.0</v>
      </c>
      <c r="AI40" s="178">
        <v>2.0</v>
      </c>
      <c r="AJ40" s="177">
        <v>2.0</v>
      </c>
      <c r="AK40" s="178">
        <v>0.0</v>
      </c>
      <c r="AL40" s="179">
        <v>1.0</v>
      </c>
      <c r="AM40" s="178">
        <v>1.0</v>
      </c>
      <c r="AN40" s="170"/>
      <c r="AO40" s="170"/>
      <c r="AP40" s="170"/>
      <c r="AQ40" s="175"/>
      <c r="AR40" s="169"/>
      <c r="AS40" s="170"/>
      <c r="AT40" s="170"/>
      <c r="AU40" s="170"/>
      <c r="AV40" s="170"/>
      <c r="AW40" s="170"/>
      <c r="AX40" s="170"/>
      <c r="AY40" s="170"/>
      <c r="AZ40" s="170"/>
      <c r="BA40" s="132" t="str">
        <f t="shared" ref="BA40:BA41" si="4">SUM(ANCHORARRAY(AH40))</f>
        <v>#NAME?</v>
      </c>
      <c r="BB40" s="132">
        <f t="shared" ref="BB40:BB41" si="5">SUM(M40:AE40)+SUM(AH40:AZ40)</f>
        <v>24</v>
      </c>
    </row>
    <row r="41">
      <c r="A41" s="166"/>
      <c r="B41" s="23"/>
      <c r="E41" s="180"/>
      <c r="F41" s="181"/>
      <c r="G41" s="181"/>
      <c r="H41" s="181"/>
      <c r="I41" s="181"/>
      <c r="J41" s="181"/>
      <c r="K41" s="160">
        <f t="shared" si="1"/>
        <v>0</v>
      </c>
      <c r="L41" s="182"/>
      <c r="M41" s="183">
        <f>DAKIKA!M41</f>
        <v>3</v>
      </c>
      <c r="N41" s="183">
        <f>DAKIKA!N41</f>
        <v>3</v>
      </c>
      <c r="O41" s="214">
        <v>1.0</v>
      </c>
      <c r="P41" s="183">
        <f>DAKIKA!P41</f>
        <v>3</v>
      </c>
      <c r="Q41" s="183">
        <v>2.0</v>
      </c>
      <c r="R41" s="183">
        <f>DAKIKA!R41</f>
        <v>1</v>
      </c>
      <c r="S41" s="214">
        <f>DAKIKA!S41</f>
        <v>1</v>
      </c>
      <c r="T41" s="215">
        <v>3.0</v>
      </c>
      <c r="U41" s="183">
        <v>1.0</v>
      </c>
      <c r="V41" s="215">
        <v>1.0</v>
      </c>
      <c r="W41" s="214">
        <v>0.0</v>
      </c>
      <c r="X41" s="215">
        <v>0.0</v>
      </c>
      <c r="Y41" s="214">
        <f>DAKIKA!Y41</f>
        <v>1</v>
      </c>
      <c r="Z41" s="215">
        <v>0.0</v>
      </c>
      <c r="AA41" s="214">
        <f>DAKIKA!AA41</f>
        <v>1</v>
      </c>
      <c r="AB41" s="180"/>
      <c r="AC41" s="180" t="str">
        <f>DAKIKA!AC41</f>
        <v/>
      </c>
      <c r="AD41" s="180" t="str">
        <f>DAKIKA!AD41</f>
        <v/>
      </c>
      <c r="AE41" s="180" t="str">
        <f>DAKIKA!AE41</f>
        <v/>
      </c>
      <c r="AF41" s="182"/>
      <c r="AG41" s="132">
        <f t="shared" si="2"/>
        <v>21</v>
      </c>
      <c r="AH41" s="215">
        <v>0.0</v>
      </c>
      <c r="AI41" s="188">
        <v>4.0</v>
      </c>
      <c r="AJ41" s="189">
        <v>1.0</v>
      </c>
      <c r="AK41" s="188">
        <v>2.0</v>
      </c>
      <c r="AL41" s="190">
        <v>1.0</v>
      </c>
      <c r="AM41" s="188">
        <v>5.0</v>
      </c>
      <c r="AN41" s="181"/>
      <c r="AO41" s="181"/>
      <c r="AP41" s="181"/>
      <c r="AQ41" s="187"/>
      <c r="AR41" s="180"/>
      <c r="AS41" s="181"/>
      <c r="AT41" s="181"/>
      <c r="AU41" s="181"/>
      <c r="AV41" s="181"/>
      <c r="AW41" s="181"/>
      <c r="AX41" s="181"/>
      <c r="AY41" s="181"/>
      <c r="AZ41" s="181"/>
      <c r="BA41" s="132" t="str">
        <f t="shared" si="4"/>
        <v>#NAME?</v>
      </c>
      <c r="BB41" s="132">
        <f t="shared" si="5"/>
        <v>34</v>
      </c>
    </row>
    <row r="42" ht="33.0" customHeight="1">
      <c r="A42" s="191"/>
      <c r="B42" s="25"/>
      <c r="C42" s="65"/>
      <c r="D42" s="65"/>
      <c r="E42" s="19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17"/>
      <c r="S42" s="216" t="s">
        <v>104</v>
      </c>
      <c r="T42" s="62"/>
      <c r="U42" s="62"/>
      <c r="V42" s="62"/>
      <c r="W42" s="62"/>
      <c r="X42" s="62"/>
      <c r="Y42" s="62"/>
      <c r="Z42" s="62"/>
      <c r="AA42" s="62"/>
      <c r="AB42" s="62"/>
      <c r="AC42" s="17"/>
      <c r="AD42" s="217" t="s">
        <v>100</v>
      </c>
      <c r="AE42" s="62"/>
      <c r="AF42" s="62"/>
      <c r="AG42" s="62"/>
      <c r="AH42" s="62"/>
      <c r="AI42" s="17"/>
      <c r="AJ42" s="218" t="s">
        <v>105</v>
      </c>
      <c r="AK42" s="62"/>
      <c r="AL42" s="62"/>
      <c r="AM42" s="62"/>
      <c r="AN42" s="62"/>
      <c r="AO42" s="62"/>
      <c r="AP42" s="62"/>
      <c r="AQ42" s="62"/>
      <c r="AR42" s="199"/>
      <c r="AS42" s="219"/>
      <c r="AT42" s="62"/>
      <c r="AU42" s="62"/>
      <c r="AV42" s="62"/>
      <c r="AW42" s="62"/>
      <c r="AX42" s="62"/>
      <c r="AY42" s="62"/>
      <c r="AZ42" s="62"/>
      <c r="BA42" s="199"/>
      <c r="BB42" s="60"/>
    </row>
  </sheetData>
  <mergeCells count="55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D42:AI42"/>
    <mergeCell ref="AJ42:AR42"/>
    <mergeCell ref="AS42:BA42"/>
    <mergeCell ref="C36:D36"/>
    <mergeCell ref="C37:D37"/>
    <mergeCell ref="C38:D38"/>
    <mergeCell ref="C39:D39"/>
    <mergeCell ref="B40:D42"/>
    <mergeCell ref="E42:R42"/>
    <mergeCell ref="S42:AC42"/>
    <mergeCell ref="M4:AE4"/>
    <mergeCell ref="AH4:BA4"/>
    <mergeCell ref="M9:N9"/>
    <mergeCell ref="O9:S9"/>
    <mergeCell ref="T9:W9"/>
    <mergeCell ref="X9:AH9"/>
    <mergeCell ref="AI9:AL9"/>
    <mergeCell ref="AM9:AP9"/>
    <mergeCell ref="AQ9:AS9"/>
    <mergeCell ref="AT9:AV9"/>
    <mergeCell ref="B2:BA2"/>
    <mergeCell ref="B3:BA3"/>
    <mergeCell ref="B4:D9"/>
    <mergeCell ref="E4:K4"/>
    <mergeCell ref="L4:L7"/>
    <mergeCell ref="AF4:AF7"/>
    <mergeCell ref="AG4:AG7"/>
    <mergeCell ref="E9:H9"/>
    <mergeCell ref="I9:J9"/>
    <mergeCell ref="C10:D10"/>
    <mergeCell ref="C11:D11"/>
    <mergeCell ref="C12:D12"/>
    <mergeCell ref="C13:D13"/>
    <mergeCell ref="C14:D14"/>
  </mergeCells>
  <conditionalFormatting sqref="BB10:BB39">
    <cfRule type="colorScale" priority="1">
      <colorScale>
        <cfvo type="min"/>
        <cfvo type="max"/>
        <color rgb="FFFCFCFF"/>
        <color rgb="FF63BE7B"/>
      </colorScale>
    </cfRule>
  </conditionalFormatting>
  <conditionalFormatting sqref="BB11:BB1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7.57"/>
    <col customWidth="1" min="3" max="3" width="46.86"/>
    <col customWidth="1" min="4" max="4" width="7.86"/>
    <col customWidth="1" min="5" max="53" width="8.86"/>
    <col customWidth="1" min="54" max="54" width="12.86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60"/>
    </row>
    <row r="2">
      <c r="A2" s="59"/>
      <c r="B2" s="61" t="s">
        <v>106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17"/>
      <c r="BB2" s="60"/>
    </row>
    <row r="3">
      <c r="A3" s="63"/>
      <c r="B3" s="64" t="s">
        <v>41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26"/>
      <c r="BB3" s="60"/>
    </row>
    <row r="4" ht="23.25" customHeight="1">
      <c r="B4" s="66"/>
      <c r="C4" s="67"/>
      <c r="D4" s="67"/>
      <c r="E4" s="68" t="s">
        <v>42</v>
      </c>
      <c r="F4" s="69"/>
      <c r="G4" s="69"/>
      <c r="H4" s="69"/>
      <c r="I4" s="69"/>
      <c r="J4" s="69"/>
      <c r="K4" s="70"/>
      <c r="L4" s="71" t="s">
        <v>43</v>
      </c>
      <c r="M4" s="200" t="s">
        <v>44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3"/>
      <c r="AF4" s="71" t="s">
        <v>45</v>
      </c>
      <c r="AG4" s="74" t="s">
        <v>46</v>
      </c>
      <c r="AH4" s="201" t="s">
        <v>101</v>
      </c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199"/>
      <c r="BB4" s="60"/>
    </row>
    <row r="5">
      <c r="B5" s="76"/>
      <c r="E5" s="77">
        <v>1.0</v>
      </c>
      <c r="F5" s="78">
        <v>2.0</v>
      </c>
      <c r="G5" s="78">
        <v>3.0</v>
      </c>
      <c r="H5" s="78">
        <v>4.0</v>
      </c>
      <c r="I5" s="78">
        <v>5.0</v>
      </c>
      <c r="J5" s="78">
        <v>6.0</v>
      </c>
      <c r="K5" s="79" t="s">
        <v>48</v>
      </c>
      <c r="L5" s="80"/>
      <c r="M5" s="81">
        <v>1.0</v>
      </c>
      <c r="N5" s="81">
        <v>2.0</v>
      </c>
      <c r="O5" s="81">
        <v>3.0</v>
      </c>
      <c r="P5" s="81">
        <v>4.0</v>
      </c>
      <c r="Q5" s="81">
        <v>5.0</v>
      </c>
      <c r="R5" s="81">
        <v>6.0</v>
      </c>
      <c r="S5" s="81">
        <v>7.0</v>
      </c>
      <c r="T5" s="81">
        <v>8.0</v>
      </c>
      <c r="U5" s="81">
        <v>9.0</v>
      </c>
      <c r="V5" s="81">
        <v>10.0</v>
      </c>
      <c r="W5" s="81">
        <v>11.0</v>
      </c>
      <c r="X5" s="81">
        <v>12.0</v>
      </c>
      <c r="Y5" s="81">
        <v>13.0</v>
      </c>
      <c r="Z5" s="81">
        <v>14.0</v>
      </c>
      <c r="AA5" s="81">
        <v>15.0</v>
      </c>
      <c r="AB5" s="78"/>
      <c r="AC5" s="220"/>
      <c r="AD5" s="78"/>
      <c r="AE5" s="78"/>
      <c r="AF5" s="80"/>
      <c r="AG5" s="82"/>
      <c r="AH5" s="83">
        <v>16.0</v>
      </c>
      <c r="AI5" s="83">
        <v>17.0</v>
      </c>
      <c r="AJ5" s="83">
        <v>18.0</v>
      </c>
      <c r="AK5" s="83">
        <v>19.0</v>
      </c>
      <c r="AL5" s="83">
        <v>20.0</v>
      </c>
      <c r="AM5" s="83">
        <v>21.0</v>
      </c>
      <c r="AN5" s="83">
        <v>22.0</v>
      </c>
      <c r="AO5" s="83">
        <v>23.0</v>
      </c>
      <c r="AP5" s="83">
        <v>24.0</v>
      </c>
      <c r="AQ5" s="83">
        <v>25.0</v>
      </c>
      <c r="AR5" s="83">
        <v>26.0</v>
      </c>
      <c r="AS5" s="83">
        <v>27.0</v>
      </c>
      <c r="AT5" s="83">
        <v>28.0</v>
      </c>
      <c r="AU5" s="83">
        <v>29.0</v>
      </c>
      <c r="AV5" s="83">
        <v>30.0</v>
      </c>
      <c r="AW5" s="84"/>
      <c r="AX5" s="84"/>
      <c r="AY5" s="84"/>
      <c r="AZ5" s="84"/>
      <c r="BA5" s="84"/>
      <c r="BB5" s="60"/>
    </row>
    <row r="6">
      <c r="B6" s="76"/>
      <c r="E6" s="221" t="s">
        <v>49</v>
      </c>
      <c r="F6" s="86" t="s">
        <v>50</v>
      </c>
      <c r="G6" s="86" t="s">
        <v>49</v>
      </c>
      <c r="H6" s="86" t="s">
        <v>50</v>
      </c>
      <c r="I6" s="86" t="s">
        <v>50</v>
      </c>
      <c r="J6" s="86" t="s">
        <v>50</v>
      </c>
      <c r="K6" s="87"/>
      <c r="L6" s="80"/>
      <c r="M6" s="88" t="s">
        <v>49</v>
      </c>
      <c r="N6" s="89" t="s">
        <v>50</v>
      </c>
      <c r="O6" s="88" t="s">
        <v>49</v>
      </c>
      <c r="P6" s="89" t="s">
        <v>50</v>
      </c>
      <c r="Q6" s="88" t="s">
        <v>49</v>
      </c>
      <c r="R6" s="89" t="s">
        <v>50</v>
      </c>
      <c r="S6" s="88" t="s">
        <v>49</v>
      </c>
      <c r="T6" s="89" t="s">
        <v>50</v>
      </c>
      <c r="U6" s="88" t="s">
        <v>49</v>
      </c>
      <c r="V6" s="89" t="s">
        <v>50</v>
      </c>
      <c r="W6" s="88" t="s">
        <v>49</v>
      </c>
      <c r="X6" s="89" t="s">
        <v>50</v>
      </c>
      <c r="Y6" s="88" t="s">
        <v>49</v>
      </c>
      <c r="Z6" s="89" t="s">
        <v>50</v>
      </c>
      <c r="AA6" s="88" t="s">
        <v>49</v>
      </c>
      <c r="AB6" s="222"/>
      <c r="AC6" s="223"/>
      <c r="AD6" s="90"/>
      <c r="AE6" s="90"/>
      <c r="AF6" s="80"/>
      <c r="AG6" s="82"/>
      <c r="AH6" s="89" t="s">
        <v>50</v>
      </c>
      <c r="AI6" s="88" t="s">
        <v>49</v>
      </c>
      <c r="AJ6" s="89" t="s">
        <v>50</v>
      </c>
      <c r="AK6" s="88" t="s">
        <v>49</v>
      </c>
      <c r="AL6" s="89" t="s">
        <v>50</v>
      </c>
      <c r="AM6" s="88" t="s">
        <v>49</v>
      </c>
      <c r="AN6" s="89" t="s">
        <v>50</v>
      </c>
      <c r="AO6" s="88" t="s">
        <v>49</v>
      </c>
      <c r="AP6" s="89" t="s">
        <v>50</v>
      </c>
      <c r="AQ6" s="88" t="s">
        <v>49</v>
      </c>
      <c r="AR6" s="89" t="s">
        <v>50</v>
      </c>
      <c r="AS6" s="88" t="s">
        <v>49</v>
      </c>
      <c r="AT6" s="89" t="s">
        <v>50</v>
      </c>
      <c r="AU6" s="88" t="s">
        <v>49</v>
      </c>
      <c r="AV6" s="89" t="s">
        <v>50</v>
      </c>
      <c r="AW6" s="90"/>
      <c r="AX6" s="90"/>
      <c r="AY6" s="90"/>
      <c r="AZ6" s="90"/>
      <c r="BA6" s="90"/>
      <c r="BB6" s="60"/>
    </row>
    <row r="7" ht="319.5" customHeight="1">
      <c r="B7" s="76"/>
      <c r="E7" s="93"/>
      <c r="F7" s="93"/>
      <c r="G7" s="93"/>
      <c r="H7" s="93"/>
      <c r="I7" s="93"/>
      <c r="J7" s="93"/>
      <c r="K7" s="94" t="s">
        <v>46</v>
      </c>
      <c r="L7" s="95"/>
      <c r="M7" s="96" t="str">
        <f>DAKIKA!M7</f>
        <v>SANCAKTEPE SPOR</v>
      </c>
      <c r="N7" s="97" t="str">
        <f>DAKIKA!N7</f>
        <v>GÖLCÜKSPOR</v>
      </c>
      <c r="O7" s="96" t="str">
        <f>DAKIKA!O7</f>
        <v>KESTEL ÇİLEK SPOR KULÜBÜ</v>
      </c>
      <c r="P7" s="97" t="str">
        <f>DAKIKA!P7</f>
        <v>BULVARSPOR</v>
      </c>
      <c r="Q7" s="203" t="str">
        <f>DAKIKA!Q7</f>
        <v>KARTAL SPORTİF FAALİYETLERİ A.Ş.</v>
      </c>
      <c r="R7" s="97" t="str">
        <f>DAKIKA!R7</f>
        <v>SULTANBEYLİ BELEDİYE SPOR</v>
      </c>
      <c r="S7" s="96" t="str">
        <f>DAKIKA!S7</f>
        <v>DUDULLU</v>
      </c>
      <c r="T7" s="97" t="str">
        <f>DAKIKA!T7</f>
        <v>İNKILAP FUTBOL SPOR KULÜBÜ</v>
      </c>
      <c r="U7" s="96" t="str">
        <f>DAKIKA!U7</f>
        <v>GÜZİDE GEBZE SPOR KULÜBÜ</v>
      </c>
      <c r="V7" s="97" t="str">
        <f>DAKIKA!V7</f>
        <v>PAŞABAHÇE</v>
      </c>
      <c r="W7" s="96" t="str">
        <f>DAKIKA!W7</f>
        <v>KARACABEY BELEDİYE SPOR A.Ş.</v>
      </c>
      <c r="X7" s="97" t="str">
        <f>DAKIKA!X7</f>
        <v>KULLAR 1975 SPOR</v>
      </c>
      <c r="Y7" s="96" t="str">
        <f>DAKIKA!Y7</f>
        <v>YALOVA FK 77 SPOR KULÜBÜ</v>
      </c>
      <c r="Z7" s="97" t="str">
        <f>DAKIKA!Z7</f>
        <v>MALTEPESPOR</v>
      </c>
      <c r="AA7" s="96" t="str">
        <f>DAKIKA!AA7</f>
        <v>BEYKOZ ANADOLU SPOR A.Ş.</v>
      </c>
      <c r="AB7" s="224"/>
      <c r="AC7" s="225"/>
      <c r="AD7" s="92"/>
      <c r="AE7" s="93"/>
      <c r="AF7" s="95"/>
      <c r="AG7" s="98"/>
      <c r="AH7" s="97" t="str">
        <f>DAKIKA!AH7</f>
        <v>SANCAKTEPE SPOR</v>
      </c>
      <c r="AI7" s="96" t="str">
        <f>DAKIKA!AI7</f>
        <v>GÖLCÜKSPOR</v>
      </c>
      <c r="AJ7" s="97" t="str">
        <f>DAKIKA!AJ7</f>
        <v>KESTEL ÇİLEK SPOR KULÜBÜ</v>
      </c>
      <c r="AK7" s="96" t="str">
        <f>DAKIKA!AK7</f>
        <v>BULVARSPOR</v>
      </c>
      <c r="AL7" s="226" t="str">
        <f>DAKIKA!AL7</f>
        <v>KARTAL SPORTİF FAALİYETLERİ A.Ş.</v>
      </c>
      <c r="AM7" s="96" t="str">
        <f>DAKIKA!AM7</f>
        <v>SULTANBEYLİ BELEDİYE SPOR</v>
      </c>
      <c r="AN7" s="97" t="str">
        <f>DAKIKA!AN7</f>
        <v>DUDULLU</v>
      </c>
      <c r="AO7" s="96" t="str">
        <f>DAKIKA!AO7</f>
        <v>İNKILAP FUTBOL SPOR KULÜBÜ</v>
      </c>
      <c r="AP7" s="97" t="str">
        <f>DAKIKA!AP7</f>
        <v>GÜZİDE GEBZE SPOR KULÜBÜ</v>
      </c>
      <c r="AQ7" s="96" t="str">
        <f>DAKIKA!AQ7</f>
        <v>PAŞABAHÇE</v>
      </c>
      <c r="AR7" s="97" t="str">
        <f>DAKIKA!AR7</f>
        <v>KARACABEY BELEDİYE SPOR A.Ş.</v>
      </c>
      <c r="AS7" s="96" t="str">
        <f>DAKIKA!AS7</f>
        <v>KULLAR 1975 SPOR</v>
      </c>
      <c r="AT7" s="97" t="str">
        <f>DAKIKA!AT7</f>
        <v>YALOVA FK 77 SPOR KULÜBÜ</v>
      </c>
      <c r="AU7" s="96" t="str">
        <f>DAKIKA!AU7</f>
        <v>MALTEPESPOR</v>
      </c>
      <c r="AV7" s="97" t="str">
        <f>DAKIKA!AV7</f>
        <v>BEYKOZ ANADOLU SPOR A.Ş.</v>
      </c>
      <c r="AW7" s="93"/>
      <c r="AX7" s="93"/>
      <c r="AY7" s="93"/>
      <c r="AZ7" s="93"/>
      <c r="BA7" s="99" t="s">
        <v>66</v>
      </c>
      <c r="BB7" s="60"/>
    </row>
    <row r="8">
      <c r="B8" s="76"/>
      <c r="E8" s="101"/>
      <c r="F8" s="101"/>
      <c r="G8" s="101"/>
      <c r="H8" s="101"/>
      <c r="I8" s="101"/>
      <c r="J8" s="101"/>
      <c r="K8" s="101"/>
      <c r="L8" s="101"/>
      <c r="M8" s="227">
        <f t="array" ref="M8:BA8">DAKIKA!M8:BA8</f>
        <v>17</v>
      </c>
      <c r="N8" s="227">
        <v>24.0</v>
      </c>
      <c r="O8" s="227">
        <v>1.0</v>
      </c>
      <c r="P8" s="227">
        <v>8.0</v>
      </c>
      <c r="Q8" s="227">
        <v>15.0</v>
      </c>
      <c r="R8" s="227">
        <v>22.0</v>
      </c>
      <c r="S8" s="227">
        <v>29.0</v>
      </c>
      <c r="T8" s="227">
        <v>5.0</v>
      </c>
      <c r="U8" s="227">
        <v>12.0</v>
      </c>
      <c r="V8" s="227">
        <v>19.0</v>
      </c>
      <c r="W8" s="227">
        <v>26.0</v>
      </c>
      <c r="X8" s="227">
        <v>3.0</v>
      </c>
      <c r="Y8" s="227">
        <v>10.0</v>
      </c>
      <c r="Z8" s="227">
        <v>17.0</v>
      </c>
      <c r="AA8" s="227">
        <v>24.0</v>
      </c>
      <c r="AB8" s="101"/>
      <c r="AC8" s="3"/>
      <c r="AD8" s="101"/>
      <c r="AE8" s="101"/>
      <c r="AF8" s="101"/>
      <c r="AG8" s="101"/>
      <c r="AH8" s="227">
        <v>29.0</v>
      </c>
      <c r="AI8" s="227">
        <v>7.0</v>
      </c>
      <c r="AJ8" s="227">
        <v>14.0</v>
      </c>
      <c r="AK8" s="227">
        <v>21.0</v>
      </c>
      <c r="AL8" s="227">
        <v>28.0</v>
      </c>
      <c r="AM8" s="227">
        <v>4.0</v>
      </c>
      <c r="AN8" s="227">
        <v>11.0</v>
      </c>
      <c r="AO8" s="227">
        <v>18.0</v>
      </c>
      <c r="AP8" s="227">
        <v>25.0</v>
      </c>
      <c r="AQ8" s="227">
        <v>4.0</v>
      </c>
      <c r="AR8" s="227">
        <v>11.0</v>
      </c>
      <c r="AS8" s="227">
        <v>25.0</v>
      </c>
      <c r="AT8" s="227">
        <v>1.0</v>
      </c>
      <c r="AU8" s="227">
        <v>8.0</v>
      </c>
      <c r="AV8" s="227">
        <v>15.0</v>
      </c>
      <c r="AW8" s="101"/>
      <c r="AX8" s="101"/>
      <c r="AY8" s="101"/>
      <c r="AZ8" s="101"/>
      <c r="BA8" s="101"/>
      <c r="BB8" s="60"/>
    </row>
    <row r="9">
      <c r="B9" s="105"/>
      <c r="C9" s="106"/>
      <c r="D9" s="106"/>
      <c r="E9" s="228"/>
      <c r="F9" s="110"/>
      <c r="G9" s="110"/>
      <c r="H9" s="109"/>
      <c r="I9" s="228"/>
      <c r="J9" s="109"/>
      <c r="K9" s="229"/>
      <c r="L9" s="230"/>
      <c r="M9" s="108" t="s">
        <v>67</v>
      </c>
      <c r="N9" s="109"/>
      <c r="O9" s="108" t="s">
        <v>68</v>
      </c>
      <c r="P9" s="110"/>
      <c r="Q9" s="110"/>
      <c r="R9" s="110"/>
      <c r="S9" s="109"/>
      <c r="T9" s="108" t="s">
        <v>69</v>
      </c>
      <c r="U9" s="110"/>
      <c r="V9" s="110"/>
      <c r="W9" s="109"/>
      <c r="X9" s="111" t="s">
        <v>70</v>
      </c>
      <c r="Y9" s="110"/>
      <c r="Z9" s="110"/>
      <c r="AA9" s="110"/>
      <c r="AB9" s="110"/>
      <c r="AC9" s="110"/>
      <c r="AD9" s="110"/>
      <c r="AE9" s="110"/>
      <c r="AF9" s="110"/>
      <c r="AG9" s="110"/>
      <c r="AH9" s="109"/>
      <c r="AI9" s="108" t="s">
        <v>71</v>
      </c>
      <c r="AJ9" s="110"/>
      <c r="AK9" s="110"/>
      <c r="AL9" s="109"/>
      <c r="AM9" s="108" t="s">
        <v>72</v>
      </c>
      <c r="AN9" s="110"/>
      <c r="AO9" s="110"/>
      <c r="AP9" s="109"/>
      <c r="AQ9" s="108" t="s">
        <v>73</v>
      </c>
      <c r="AR9" s="110"/>
      <c r="AS9" s="109"/>
      <c r="AT9" s="108" t="s">
        <v>74</v>
      </c>
      <c r="AU9" s="110"/>
      <c r="AV9" s="109"/>
      <c r="AW9" s="112"/>
      <c r="AX9" s="112"/>
      <c r="AY9" s="112"/>
      <c r="AZ9" s="112"/>
      <c r="BA9" s="209"/>
      <c r="BB9" s="114"/>
    </row>
    <row r="10" ht="27.0" customHeight="1">
      <c r="A10" s="115"/>
      <c r="B10" s="116">
        <v>1.0</v>
      </c>
      <c r="C10" s="138" t="s">
        <v>7</v>
      </c>
      <c r="D10" s="118"/>
      <c r="E10" s="119"/>
      <c r="F10" s="119"/>
      <c r="G10" s="119"/>
      <c r="H10" s="119"/>
      <c r="I10" s="119"/>
      <c r="J10" s="119"/>
      <c r="K10" s="120">
        <f t="shared" ref="K10:K20" si="1">SUM(E10:J10)</f>
        <v>0</v>
      </c>
      <c r="L10" s="121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26"/>
      <c r="AG10" s="124">
        <f t="shared" ref="AG10:AG20" si="2">SUM(M10:AF10)</f>
        <v>0</v>
      </c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26"/>
      <c r="BB10" s="124">
        <f t="shared" ref="BB10:BB20" si="3">SUM(M10:AF10,AH10:BA10)</f>
        <v>0</v>
      </c>
    </row>
    <row r="11">
      <c r="A11" s="115"/>
      <c r="B11" s="116">
        <v>2.0</v>
      </c>
      <c r="C11" s="128" t="s">
        <v>8</v>
      </c>
      <c r="D11" s="118"/>
      <c r="E11" s="119"/>
      <c r="F11" s="119"/>
      <c r="G11" s="119"/>
      <c r="H11" s="119"/>
      <c r="I11" s="119"/>
      <c r="J11" s="119"/>
      <c r="K11" s="120">
        <f t="shared" si="1"/>
        <v>0</v>
      </c>
      <c r="L11" s="121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21"/>
      <c r="AG11" s="124">
        <f t="shared" si="2"/>
        <v>0</v>
      </c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21"/>
      <c r="BB11" s="124">
        <f t="shared" si="3"/>
        <v>0</v>
      </c>
    </row>
    <row r="12">
      <c r="A12" s="115"/>
      <c r="B12" s="116">
        <v>3.0</v>
      </c>
      <c r="C12" s="147" t="s">
        <v>9</v>
      </c>
      <c r="D12" s="118"/>
      <c r="E12" s="119"/>
      <c r="F12" s="119"/>
      <c r="G12" s="119"/>
      <c r="H12" s="119"/>
      <c r="I12" s="119"/>
      <c r="J12" s="119"/>
      <c r="K12" s="120">
        <f t="shared" si="1"/>
        <v>0</v>
      </c>
      <c r="L12" s="121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21"/>
      <c r="AG12" s="124">
        <f t="shared" si="2"/>
        <v>0</v>
      </c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21"/>
      <c r="BB12" s="124">
        <f t="shared" si="3"/>
        <v>0</v>
      </c>
    </row>
    <row r="13">
      <c r="A13" s="115"/>
      <c r="B13" s="116">
        <v>4.0</v>
      </c>
      <c r="C13" s="137" t="s">
        <v>10</v>
      </c>
      <c r="D13" s="118"/>
      <c r="E13" s="119"/>
      <c r="F13" s="119"/>
      <c r="G13" s="119"/>
      <c r="H13" s="119"/>
      <c r="I13" s="119"/>
      <c r="J13" s="119"/>
      <c r="K13" s="120">
        <f t="shared" si="1"/>
        <v>0</v>
      </c>
      <c r="L13" s="121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21"/>
      <c r="AG13" s="124">
        <f t="shared" si="2"/>
        <v>0</v>
      </c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21"/>
      <c r="BB13" s="124">
        <f t="shared" si="3"/>
        <v>0</v>
      </c>
    </row>
    <row r="14">
      <c r="A14" s="115"/>
      <c r="B14" s="116">
        <v>5.0</v>
      </c>
      <c r="C14" s="138" t="s">
        <v>78</v>
      </c>
      <c r="D14" s="118"/>
      <c r="E14" s="119"/>
      <c r="F14" s="119"/>
      <c r="G14" s="119"/>
      <c r="H14" s="119"/>
      <c r="I14" s="119"/>
      <c r="J14" s="119"/>
      <c r="K14" s="120">
        <f t="shared" si="1"/>
        <v>0</v>
      </c>
      <c r="L14" s="121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21"/>
      <c r="AG14" s="124">
        <f t="shared" si="2"/>
        <v>0</v>
      </c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21"/>
      <c r="BB14" s="124">
        <f t="shared" si="3"/>
        <v>0</v>
      </c>
    </row>
    <row r="15">
      <c r="A15" s="115"/>
      <c r="B15" s="116">
        <v>6.0</v>
      </c>
      <c r="C15" s="128" t="s">
        <v>11</v>
      </c>
      <c r="D15" s="118"/>
      <c r="E15" s="119"/>
      <c r="F15" s="119"/>
      <c r="G15" s="119"/>
      <c r="H15" s="119"/>
      <c r="I15" s="119"/>
      <c r="J15" s="119"/>
      <c r="K15" s="120">
        <f t="shared" si="1"/>
        <v>0</v>
      </c>
      <c r="L15" s="121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21"/>
      <c r="AG15" s="124">
        <f t="shared" si="2"/>
        <v>0</v>
      </c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21"/>
      <c r="BB15" s="124">
        <f t="shared" si="3"/>
        <v>0</v>
      </c>
    </row>
    <row r="16">
      <c r="A16" s="115"/>
      <c r="B16" s="116">
        <v>7.0</v>
      </c>
      <c r="C16" s="128" t="s">
        <v>12</v>
      </c>
      <c r="D16" s="118"/>
      <c r="E16" s="119"/>
      <c r="F16" s="119"/>
      <c r="G16" s="119"/>
      <c r="H16" s="119"/>
      <c r="I16" s="119"/>
      <c r="J16" s="119"/>
      <c r="K16" s="120">
        <f t="shared" si="1"/>
        <v>0</v>
      </c>
      <c r="L16" s="121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21"/>
      <c r="AG16" s="124">
        <f t="shared" si="2"/>
        <v>0</v>
      </c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21"/>
      <c r="BB16" s="124">
        <f t="shared" si="3"/>
        <v>0</v>
      </c>
    </row>
    <row r="17">
      <c r="A17" s="115"/>
      <c r="B17" s="116">
        <v>8.0</v>
      </c>
      <c r="C17" s="128" t="s">
        <v>80</v>
      </c>
      <c r="D17" s="118"/>
      <c r="E17" s="119"/>
      <c r="F17" s="119"/>
      <c r="G17" s="119"/>
      <c r="H17" s="119"/>
      <c r="I17" s="119"/>
      <c r="J17" s="119"/>
      <c r="K17" s="120">
        <f t="shared" si="1"/>
        <v>0</v>
      </c>
      <c r="L17" s="121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21"/>
      <c r="AG17" s="124">
        <f t="shared" si="2"/>
        <v>0</v>
      </c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21"/>
      <c r="BB17" s="124">
        <f t="shared" si="3"/>
        <v>0</v>
      </c>
    </row>
    <row r="18">
      <c r="A18" s="115"/>
      <c r="B18" s="116">
        <v>9.0</v>
      </c>
      <c r="C18" s="128" t="s">
        <v>81</v>
      </c>
      <c r="D18" s="118"/>
      <c r="E18" s="119"/>
      <c r="F18" s="119"/>
      <c r="G18" s="119"/>
      <c r="H18" s="119"/>
      <c r="I18" s="119"/>
      <c r="J18" s="119"/>
      <c r="K18" s="120">
        <f t="shared" si="1"/>
        <v>0</v>
      </c>
      <c r="L18" s="121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21"/>
      <c r="AG18" s="124">
        <f t="shared" si="2"/>
        <v>0</v>
      </c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21"/>
      <c r="BB18" s="124">
        <f t="shared" si="3"/>
        <v>0</v>
      </c>
    </row>
    <row r="19">
      <c r="A19" s="115"/>
      <c r="B19" s="116">
        <v>10.0</v>
      </c>
      <c r="C19" s="128" t="s">
        <v>27</v>
      </c>
      <c r="D19" s="118"/>
      <c r="E19" s="119"/>
      <c r="F19" s="119"/>
      <c r="G19" s="119"/>
      <c r="H19" s="119"/>
      <c r="I19" s="119"/>
      <c r="J19" s="119"/>
      <c r="K19" s="120">
        <f t="shared" si="1"/>
        <v>0</v>
      </c>
      <c r="L19" s="121"/>
      <c r="M19" s="119"/>
      <c r="N19" s="119"/>
      <c r="O19" s="135">
        <v>1.0</v>
      </c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21"/>
      <c r="AG19" s="124">
        <f t="shared" si="2"/>
        <v>1</v>
      </c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21"/>
      <c r="BB19" s="124">
        <f t="shared" si="3"/>
        <v>1</v>
      </c>
    </row>
    <row r="20">
      <c r="A20" s="115"/>
      <c r="B20" s="116">
        <v>11.0</v>
      </c>
      <c r="C20" s="138" t="s">
        <v>28</v>
      </c>
      <c r="D20" s="118"/>
      <c r="E20" s="119"/>
      <c r="F20" s="119"/>
      <c r="G20" s="119"/>
      <c r="H20" s="119"/>
      <c r="I20" s="119"/>
      <c r="J20" s="119"/>
      <c r="K20" s="120">
        <f t="shared" si="1"/>
        <v>0</v>
      </c>
      <c r="L20" s="121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21"/>
      <c r="AG20" s="124">
        <f t="shared" si="2"/>
        <v>0</v>
      </c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21"/>
      <c r="BB20" s="124">
        <f t="shared" si="3"/>
        <v>0</v>
      </c>
    </row>
    <row r="21" ht="25.5" customHeight="1">
      <c r="A21" s="115"/>
      <c r="B21" s="116">
        <v>12.0</v>
      </c>
      <c r="C21" s="128" t="s">
        <v>32</v>
      </c>
      <c r="D21" s="118"/>
      <c r="E21" s="119"/>
      <c r="F21" s="119"/>
      <c r="G21" s="119"/>
      <c r="H21" s="119"/>
      <c r="I21" s="119"/>
      <c r="J21" s="119"/>
      <c r="K21" s="120">
        <v>0.0</v>
      </c>
      <c r="L21" s="121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21"/>
      <c r="AG21" s="124">
        <v>0.0</v>
      </c>
      <c r="AH21" s="119"/>
      <c r="AI21" s="119"/>
      <c r="AJ21" s="125">
        <v>1.0</v>
      </c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21"/>
      <c r="BB21" s="124">
        <v>0.0</v>
      </c>
    </row>
    <row r="22" ht="25.5" customHeight="1">
      <c r="A22" s="115"/>
      <c r="B22" s="116">
        <v>13.0</v>
      </c>
      <c r="C22" s="147" t="s">
        <v>82</v>
      </c>
      <c r="D22" s="118"/>
      <c r="E22" s="119"/>
      <c r="F22" s="119"/>
      <c r="G22" s="119"/>
      <c r="H22" s="119"/>
      <c r="I22" s="119"/>
      <c r="J22" s="119"/>
      <c r="K22" s="120">
        <f t="shared" ref="K22:K41" si="4">SUM(E22:J22)</f>
        <v>0</v>
      </c>
      <c r="L22" s="121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21"/>
      <c r="AG22" s="124">
        <f t="shared" ref="AG22:AG41" si="5">SUM(M22:AF22)</f>
        <v>0</v>
      </c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21"/>
      <c r="BB22" s="124">
        <f t="shared" ref="BB22:BB39" si="6">SUM(M22:AF22,AH22:BA22)</f>
        <v>0</v>
      </c>
    </row>
    <row r="23" ht="25.5" customHeight="1">
      <c r="A23" s="115"/>
      <c r="B23" s="116">
        <v>14.0</v>
      </c>
      <c r="C23" s="128" t="s">
        <v>31</v>
      </c>
      <c r="D23" s="118"/>
      <c r="E23" s="119"/>
      <c r="F23" s="119"/>
      <c r="G23" s="119"/>
      <c r="H23" s="119"/>
      <c r="I23" s="119"/>
      <c r="J23" s="119"/>
      <c r="K23" s="120">
        <f t="shared" si="4"/>
        <v>0</v>
      </c>
      <c r="L23" s="121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21"/>
      <c r="AG23" s="124">
        <f t="shared" si="5"/>
        <v>0</v>
      </c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21"/>
      <c r="BB23" s="124">
        <f t="shared" si="6"/>
        <v>0</v>
      </c>
    </row>
    <row r="24" ht="25.5" customHeight="1">
      <c r="A24" s="115"/>
      <c r="B24" s="116">
        <v>15.0</v>
      </c>
      <c r="C24" s="143" t="s">
        <v>83</v>
      </c>
      <c r="D24" s="118"/>
      <c r="E24" s="119"/>
      <c r="F24" s="119"/>
      <c r="G24" s="119"/>
      <c r="H24" s="119"/>
      <c r="I24" s="119"/>
      <c r="J24" s="119"/>
      <c r="K24" s="120">
        <f t="shared" si="4"/>
        <v>0</v>
      </c>
      <c r="L24" s="121"/>
      <c r="M24" s="119"/>
      <c r="N24" s="119"/>
      <c r="O24" s="119"/>
      <c r="P24" s="119"/>
      <c r="Q24" s="119"/>
      <c r="R24" s="119"/>
      <c r="S24" s="119"/>
      <c r="T24" s="135">
        <v>1.0</v>
      </c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21"/>
      <c r="AG24" s="124">
        <f t="shared" si="5"/>
        <v>1</v>
      </c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21"/>
      <c r="BB24" s="124">
        <f t="shared" si="6"/>
        <v>1</v>
      </c>
    </row>
    <row r="25" ht="25.5" customHeight="1">
      <c r="A25" s="115"/>
      <c r="B25" s="116">
        <v>16.0</v>
      </c>
      <c r="C25" s="128" t="s">
        <v>29</v>
      </c>
      <c r="D25" s="118"/>
      <c r="E25" s="119"/>
      <c r="F25" s="119"/>
      <c r="G25" s="119"/>
      <c r="H25" s="119"/>
      <c r="I25" s="119"/>
      <c r="J25" s="119"/>
      <c r="K25" s="120">
        <f t="shared" si="4"/>
        <v>0</v>
      </c>
      <c r="L25" s="121"/>
      <c r="M25" s="119"/>
      <c r="N25" s="135">
        <v>1.0</v>
      </c>
      <c r="O25" s="119"/>
      <c r="P25" s="119"/>
      <c r="Q25" s="135">
        <v>1.0</v>
      </c>
      <c r="R25" s="119"/>
      <c r="S25" s="119"/>
      <c r="T25" s="119"/>
      <c r="U25" s="119"/>
      <c r="V25" s="125">
        <v>1.0</v>
      </c>
      <c r="W25" s="119"/>
      <c r="X25" s="119"/>
      <c r="Y25" s="119"/>
      <c r="Z25" s="119"/>
      <c r="AA25" s="119"/>
      <c r="AB25" s="119"/>
      <c r="AC25" s="119"/>
      <c r="AD25" s="119"/>
      <c r="AE25" s="119"/>
      <c r="AF25" s="121"/>
      <c r="AG25" s="124">
        <f t="shared" si="5"/>
        <v>3</v>
      </c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21"/>
      <c r="BB25" s="124">
        <f t="shared" si="6"/>
        <v>3</v>
      </c>
    </row>
    <row r="26" ht="25.5" customHeight="1">
      <c r="A26" s="115"/>
      <c r="B26" s="116">
        <v>17.0</v>
      </c>
      <c r="C26" s="147" t="s">
        <v>33</v>
      </c>
      <c r="D26" s="118"/>
      <c r="E26" s="119"/>
      <c r="F26" s="119"/>
      <c r="G26" s="119"/>
      <c r="H26" s="119"/>
      <c r="I26" s="119"/>
      <c r="J26" s="119"/>
      <c r="K26" s="120">
        <f t="shared" si="4"/>
        <v>0</v>
      </c>
      <c r="L26" s="121"/>
      <c r="M26" s="119"/>
      <c r="N26" s="119"/>
      <c r="O26" s="119"/>
      <c r="P26" s="119"/>
      <c r="Q26" s="119"/>
      <c r="R26" s="119"/>
      <c r="S26" s="119"/>
      <c r="T26" s="141">
        <v>2.0</v>
      </c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21"/>
      <c r="AG26" s="124">
        <f t="shared" si="5"/>
        <v>2</v>
      </c>
      <c r="AH26" s="141">
        <v>2.0</v>
      </c>
      <c r="AI26" s="141">
        <v>2.0</v>
      </c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21"/>
      <c r="BB26" s="124">
        <f t="shared" si="6"/>
        <v>6</v>
      </c>
    </row>
    <row r="27" ht="25.5" customHeight="1">
      <c r="A27" s="115"/>
      <c r="B27" s="116">
        <v>18.0</v>
      </c>
      <c r="C27" s="128" t="s">
        <v>34</v>
      </c>
      <c r="D27" s="118"/>
      <c r="E27" s="119"/>
      <c r="F27" s="119"/>
      <c r="G27" s="119"/>
      <c r="H27" s="119"/>
      <c r="I27" s="119"/>
      <c r="J27" s="119"/>
      <c r="K27" s="132">
        <f t="shared" si="4"/>
        <v>0</v>
      </c>
      <c r="L27" s="121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21"/>
      <c r="AG27" s="124">
        <f t="shared" si="5"/>
        <v>0</v>
      </c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21"/>
      <c r="BB27" s="124">
        <f t="shared" si="6"/>
        <v>0</v>
      </c>
    </row>
    <row r="28" ht="25.5" customHeight="1">
      <c r="A28" s="115"/>
      <c r="B28" s="116">
        <v>19.0</v>
      </c>
      <c r="C28" s="128" t="s">
        <v>84</v>
      </c>
      <c r="D28" s="118"/>
      <c r="E28" s="119"/>
      <c r="F28" s="119"/>
      <c r="G28" s="119"/>
      <c r="H28" s="119"/>
      <c r="I28" s="119"/>
      <c r="J28" s="119"/>
      <c r="K28" s="132">
        <f t="shared" si="4"/>
        <v>0</v>
      </c>
      <c r="L28" s="121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21"/>
      <c r="AG28" s="124">
        <f t="shared" si="5"/>
        <v>0</v>
      </c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21"/>
      <c r="BB28" s="124">
        <f t="shared" si="6"/>
        <v>0</v>
      </c>
    </row>
    <row r="29" ht="25.5" customHeight="1">
      <c r="A29" s="115"/>
      <c r="B29" s="116">
        <v>20.0</v>
      </c>
      <c r="C29" s="128" t="s">
        <v>85</v>
      </c>
      <c r="D29" s="118"/>
      <c r="E29" s="119"/>
      <c r="F29" s="119"/>
      <c r="G29" s="119"/>
      <c r="H29" s="119"/>
      <c r="I29" s="119"/>
      <c r="J29" s="119"/>
      <c r="K29" s="132">
        <f t="shared" si="4"/>
        <v>0</v>
      </c>
      <c r="L29" s="121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21"/>
      <c r="AG29" s="124">
        <f t="shared" si="5"/>
        <v>0</v>
      </c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21"/>
      <c r="BB29" s="124">
        <f t="shared" si="6"/>
        <v>0</v>
      </c>
    </row>
    <row r="30" ht="25.5" customHeight="1">
      <c r="A30" s="115"/>
      <c r="B30" s="116">
        <v>21.0</v>
      </c>
      <c r="C30" s="143" t="s">
        <v>86</v>
      </c>
      <c r="D30" s="118"/>
      <c r="E30" s="119"/>
      <c r="F30" s="119"/>
      <c r="G30" s="119"/>
      <c r="H30" s="119"/>
      <c r="I30" s="119"/>
      <c r="J30" s="119"/>
      <c r="K30" s="132">
        <f t="shared" si="4"/>
        <v>0</v>
      </c>
      <c r="L30" s="121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21"/>
      <c r="AG30" s="124">
        <f t="shared" si="5"/>
        <v>0</v>
      </c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21"/>
      <c r="BB30" s="124">
        <f t="shared" si="6"/>
        <v>0</v>
      </c>
    </row>
    <row r="31" ht="25.5" customHeight="1">
      <c r="A31" s="115"/>
      <c r="B31" s="116">
        <v>22.0</v>
      </c>
      <c r="C31" s="128" t="s">
        <v>37</v>
      </c>
      <c r="D31" s="118"/>
      <c r="E31" s="119"/>
      <c r="F31" s="119"/>
      <c r="G31" s="119"/>
      <c r="H31" s="119"/>
      <c r="I31" s="119"/>
      <c r="J31" s="119"/>
      <c r="K31" s="132">
        <f t="shared" si="4"/>
        <v>0</v>
      </c>
      <c r="L31" s="121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21"/>
      <c r="AG31" s="124">
        <f t="shared" si="5"/>
        <v>0</v>
      </c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21"/>
      <c r="BB31" s="124">
        <f t="shared" si="6"/>
        <v>0</v>
      </c>
    </row>
    <row r="32" ht="25.5" customHeight="1">
      <c r="A32" s="115"/>
      <c r="B32" s="116">
        <v>23.0</v>
      </c>
      <c r="C32" s="128" t="s">
        <v>39</v>
      </c>
      <c r="D32" s="118"/>
      <c r="E32" s="119"/>
      <c r="F32" s="119"/>
      <c r="G32" s="119"/>
      <c r="H32" s="119"/>
      <c r="I32" s="119"/>
      <c r="J32" s="119"/>
      <c r="K32" s="132">
        <f t="shared" si="4"/>
        <v>0</v>
      </c>
      <c r="L32" s="121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25">
        <v>1.0</v>
      </c>
      <c r="Y32" s="119"/>
      <c r="Z32" s="119"/>
      <c r="AA32" s="119"/>
      <c r="AB32" s="119"/>
      <c r="AC32" s="119"/>
      <c r="AD32" s="119"/>
      <c r="AE32" s="119"/>
      <c r="AF32" s="121"/>
      <c r="AG32" s="124">
        <f t="shared" si="5"/>
        <v>1</v>
      </c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21"/>
      <c r="BB32" s="124">
        <f t="shared" si="6"/>
        <v>1</v>
      </c>
    </row>
    <row r="33" ht="25.5" customHeight="1">
      <c r="A33" s="115"/>
      <c r="B33" s="116">
        <v>24.0</v>
      </c>
      <c r="C33" s="128" t="s">
        <v>38</v>
      </c>
      <c r="D33" s="118"/>
      <c r="E33" s="119"/>
      <c r="F33" s="119"/>
      <c r="G33" s="119"/>
      <c r="H33" s="119"/>
      <c r="I33" s="119"/>
      <c r="J33" s="119"/>
      <c r="K33" s="132">
        <f t="shared" si="4"/>
        <v>0</v>
      </c>
      <c r="L33" s="121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21"/>
      <c r="AG33" s="124">
        <f t="shared" si="5"/>
        <v>0</v>
      </c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21"/>
      <c r="BB33" s="124">
        <f t="shared" si="6"/>
        <v>0</v>
      </c>
    </row>
    <row r="34" ht="25.5" customHeight="1">
      <c r="A34" s="115"/>
      <c r="B34" s="116">
        <v>25.0</v>
      </c>
      <c r="C34" s="138" t="s">
        <v>87</v>
      </c>
      <c r="D34" s="118"/>
      <c r="E34" s="119"/>
      <c r="F34" s="119"/>
      <c r="G34" s="119"/>
      <c r="H34" s="119"/>
      <c r="I34" s="119"/>
      <c r="J34" s="119"/>
      <c r="K34" s="132">
        <f t="shared" si="4"/>
        <v>0</v>
      </c>
      <c r="L34" s="121"/>
      <c r="M34" s="119"/>
      <c r="N34" s="119"/>
      <c r="O34" s="151"/>
      <c r="P34" s="151"/>
      <c r="Q34" s="151"/>
      <c r="R34" s="151"/>
      <c r="S34" s="151"/>
      <c r="T34" s="135">
        <v>1.0</v>
      </c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21"/>
      <c r="AG34" s="124">
        <f t="shared" si="5"/>
        <v>1</v>
      </c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21"/>
      <c r="BB34" s="124">
        <f t="shared" si="6"/>
        <v>1</v>
      </c>
    </row>
    <row r="35" ht="25.5" customHeight="1">
      <c r="A35" s="115"/>
      <c r="B35" s="127">
        <v>26.0</v>
      </c>
      <c r="C35" s="131" t="s">
        <v>88</v>
      </c>
      <c r="D35" s="118"/>
      <c r="E35" s="119"/>
      <c r="F35" s="119"/>
      <c r="G35" s="119"/>
      <c r="H35" s="119"/>
      <c r="I35" s="119"/>
      <c r="J35" s="119"/>
      <c r="K35" s="132">
        <f t="shared" si="4"/>
        <v>0</v>
      </c>
      <c r="L35" s="121"/>
      <c r="M35" s="119"/>
      <c r="N35" s="119"/>
      <c r="O35" s="151"/>
      <c r="P35" s="151"/>
      <c r="Q35" s="151"/>
      <c r="R35" s="151"/>
      <c r="S35" s="151"/>
      <c r="T35" s="135">
        <v>1.0</v>
      </c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21"/>
      <c r="AG35" s="124">
        <f t="shared" si="5"/>
        <v>1</v>
      </c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21"/>
      <c r="BB35" s="124">
        <f t="shared" si="6"/>
        <v>1</v>
      </c>
    </row>
    <row r="36" ht="25.5" customHeight="1">
      <c r="A36" s="115"/>
      <c r="B36" s="116">
        <v>27.0</v>
      </c>
      <c r="C36" s="131" t="s">
        <v>89</v>
      </c>
      <c r="D36" s="118"/>
      <c r="E36" s="119"/>
      <c r="F36" s="119"/>
      <c r="G36" s="119"/>
      <c r="H36" s="119"/>
      <c r="I36" s="119"/>
      <c r="J36" s="119"/>
      <c r="K36" s="132">
        <f t="shared" si="4"/>
        <v>0</v>
      </c>
      <c r="L36" s="121"/>
      <c r="M36" s="119"/>
      <c r="N36" s="119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25">
        <v>1.0</v>
      </c>
      <c r="AA36" s="151"/>
      <c r="AB36" s="151"/>
      <c r="AC36" s="151"/>
      <c r="AD36" s="151"/>
      <c r="AE36" s="151"/>
      <c r="AF36" s="121"/>
      <c r="AG36" s="124">
        <f t="shared" si="5"/>
        <v>1</v>
      </c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21"/>
      <c r="BB36" s="124">
        <f t="shared" si="6"/>
        <v>1</v>
      </c>
    </row>
    <row r="37" ht="25.5" customHeight="1">
      <c r="A37" s="115"/>
      <c r="B37" s="127">
        <v>28.0</v>
      </c>
      <c r="C37" s="147" t="s">
        <v>90</v>
      </c>
      <c r="D37" s="118"/>
      <c r="E37" s="119"/>
      <c r="F37" s="119"/>
      <c r="G37" s="119"/>
      <c r="H37" s="119"/>
      <c r="I37" s="119"/>
      <c r="J37" s="119"/>
      <c r="K37" s="132">
        <f t="shared" si="4"/>
        <v>0</v>
      </c>
      <c r="L37" s="121"/>
      <c r="M37" s="119"/>
      <c r="N37" s="119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21"/>
      <c r="AG37" s="124">
        <f t="shared" si="5"/>
        <v>0</v>
      </c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21"/>
      <c r="BB37" s="124">
        <f t="shared" si="6"/>
        <v>0</v>
      </c>
    </row>
    <row r="38" ht="25.5" customHeight="1">
      <c r="A38" s="115"/>
      <c r="B38" s="116">
        <v>29.0</v>
      </c>
      <c r="C38" s="212" t="s">
        <v>91</v>
      </c>
      <c r="D38" s="118"/>
      <c r="E38" s="119"/>
      <c r="F38" s="119"/>
      <c r="G38" s="119"/>
      <c r="H38" s="119"/>
      <c r="I38" s="119"/>
      <c r="J38" s="119"/>
      <c r="K38" s="132">
        <f t="shared" si="4"/>
        <v>0</v>
      </c>
      <c r="L38" s="121"/>
      <c r="M38" s="119"/>
      <c r="N38" s="119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21"/>
      <c r="AG38" s="124">
        <f t="shared" si="5"/>
        <v>0</v>
      </c>
      <c r="AH38" s="119"/>
      <c r="AI38" s="119"/>
      <c r="AJ38" s="119"/>
      <c r="AK38" s="119"/>
      <c r="AL38" s="119"/>
      <c r="AM38" s="119"/>
      <c r="AN38" s="119"/>
      <c r="AO38" s="119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8"/>
      <c r="BA38" s="121"/>
      <c r="BB38" s="124">
        <f t="shared" si="6"/>
        <v>0</v>
      </c>
    </row>
    <row r="39" ht="25.5" customHeight="1">
      <c r="A39" s="115"/>
      <c r="B39" s="231">
        <v>30.0</v>
      </c>
      <c r="C39" s="147" t="s">
        <v>92</v>
      </c>
      <c r="D39" s="118"/>
      <c r="E39" s="119"/>
      <c r="F39" s="119"/>
      <c r="G39" s="119"/>
      <c r="H39" s="119"/>
      <c r="I39" s="119"/>
      <c r="J39" s="119"/>
      <c r="K39" s="160">
        <f t="shared" si="4"/>
        <v>0</v>
      </c>
      <c r="L39" s="121"/>
      <c r="M39" s="213"/>
      <c r="N39" s="213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21"/>
      <c r="AG39" s="163">
        <f t="shared" si="5"/>
        <v>0</v>
      </c>
      <c r="AH39" s="162"/>
      <c r="AI39" s="162"/>
      <c r="AJ39" s="164"/>
      <c r="AK39" s="164"/>
      <c r="AL39" s="162"/>
      <c r="AM39" s="162"/>
      <c r="AN39" s="162"/>
      <c r="AO39" s="119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5"/>
      <c r="BA39" s="121"/>
      <c r="BB39" s="124">
        <f t="shared" si="6"/>
        <v>0</v>
      </c>
    </row>
    <row r="40" ht="25.5" customHeight="1">
      <c r="A40" s="166"/>
      <c r="B40" s="167" t="s">
        <v>93</v>
      </c>
      <c r="C40" s="168"/>
      <c r="D40" s="168"/>
      <c r="E40" s="169"/>
      <c r="F40" s="170"/>
      <c r="G40" s="170"/>
      <c r="H40" s="170"/>
      <c r="I40" s="170"/>
      <c r="J40" s="170"/>
      <c r="K40" s="160">
        <f t="shared" si="4"/>
        <v>0</v>
      </c>
      <c r="L40" s="121"/>
      <c r="M40" s="171">
        <v>0.0</v>
      </c>
      <c r="N40" s="172">
        <v>1.0</v>
      </c>
      <c r="O40" s="173">
        <v>1.0</v>
      </c>
      <c r="P40" s="172">
        <v>1.0</v>
      </c>
      <c r="Q40" s="172">
        <v>1.0</v>
      </c>
      <c r="R40" s="172">
        <v>0.0</v>
      </c>
      <c r="S40" s="173">
        <v>1.0</v>
      </c>
      <c r="T40" s="174">
        <v>5.0</v>
      </c>
      <c r="U40" s="172">
        <v>0.0</v>
      </c>
      <c r="V40" s="174">
        <v>2.0</v>
      </c>
      <c r="W40" s="173">
        <v>0.0</v>
      </c>
      <c r="X40" s="174">
        <v>1.0</v>
      </c>
      <c r="Y40" s="179">
        <v>1.0</v>
      </c>
      <c r="Z40" s="174">
        <v>1.0</v>
      </c>
      <c r="AA40" s="179">
        <v>1.0</v>
      </c>
      <c r="AB40" s="170"/>
      <c r="AC40" s="170"/>
      <c r="AD40" s="170"/>
      <c r="AE40" s="175"/>
      <c r="AF40" s="121"/>
      <c r="AG40" s="132">
        <f t="shared" si="5"/>
        <v>16</v>
      </c>
      <c r="AH40" s="177">
        <v>2.0</v>
      </c>
      <c r="AI40" s="178">
        <v>2.0</v>
      </c>
      <c r="AJ40" s="177">
        <v>2.0</v>
      </c>
      <c r="AK40" s="178">
        <v>0.0</v>
      </c>
      <c r="AL40" s="179">
        <v>1.0</v>
      </c>
      <c r="AM40" s="178">
        <v>1.0</v>
      </c>
      <c r="AN40" s="170"/>
      <c r="AO40" s="170"/>
      <c r="AP40" s="170"/>
      <c r="AQ40" s="175"/>
      <c r="AR40" s="169"/>
      <c r="AS40" s="170"/>
      <c r="AT40" s="170"/>
      <c r="AU40" s="170"/>
      <c r="AV40" s="170"/>
      <c r="AW40" s="170"/>
      <c r="AX40" s="170"/>
      <c r="AY40" s="170"/>
      <c r="AZ40" s="170"/>
      <c r="BA40" s="132" t="str">
        <f t="shared" ref="BA40:BA41" si="7">SUM(ANCHORARRAY(AH40))</f>
        <v>#NAME?</v>
      </c>
      <c r="BB40" s="132">
        <f t="shared" ref="BB40:BB41" si="8">SUM(M40:AE40)+SUM(AH40:AZ40)</f>
        <v>24</v>
      </c>
    </row>
    <row r="41" ht="25.5" customHeight="1">
      <c r="A41" s="166"/>
      <c r="B41" s="23"/>
      <c r="E41" s="180"/>
      <c r="F41" s="181"/>
      <c r="G41" s="181"/>
      <c r="H41" s="181"/>
      <c r="I41" s="181"/>
      <c r="J41" s="181"/>
      <c r="K41" s="160">
        <f t="shared" si="4"/>
        <v>0</v>
      </c>
      <c r="L41" s="182"/>
      <c r="M41" s="183">
        <v>3.0</v>
      </c>
      <c r="N41" s="184">
        <v>3.0</v>
      </c>
      <c r="O41" s="185">
        <v>1.0</v>
      </c>
      <c r="P41" s="184">
        <v>3.0</v>
      </c>
      <c r="Q41" s="184">
        <v>2.0</v>
      </c>
      <c r="R41" s="184">
        <v>1.0</v>
      </c>
      <c r="S41" s="185">
        <v>1.0</v>
      </c>
      <c r="T41" s="186">
        <v>3.0</v>
      </c>
      <c r="U41" s="184">
        <v>1.0</v>
      </c>
      <c r="V41" s="186">
        <v>1.0</v>
      </c>
      <c r="W41" s="185">
        <v>0.0</v>
      </c>
      <c r="X41" s="186">
        <v>0.0</v>
      </c>
      <c r="Y41" s="190">
        <v>1.0</v>
      </c>
      <c r="Z41" s="186">
        <v>0.0</v>
      </c>
      <c r="AA41" s="190">
        <v>1.0</v>
      </c>
      <c r="AB41" s="181"/>
      <c r="AC41" s="181"/>
      <c r="AD41" s="181"/>
      <c r="AE41" s="187"/>
      <c r="AF41" s="182"/>
      <c r="AG41" s="132">
        <f t="shared" si="5"/>
        <v>21</v>
      </c>
      <c r="AH41" s="186">
        <v>0.0</v>
      </c>
      <c r="AI41" s="188">
        <v>4.0</v>
      </c>
      <c r="AJ41" s="189">
        <v>1.0</v>
      </c>
      <c r="AK41" s="188">
        <v>2.0</v>
      </c>
      <c r="AL41" s="190">
        <v>1.0</v>
      </c>
      <c r="AM41" s="188">
        <v>5.0</v>
      </c>
      <c r="AN41" s="181"/>
      <c r="AO41" s="181"/>
      <c r="AP41" s="181"/>
      <c r="AQ41" s="187"/>
      <c r="AR41" s="180"/>
      <c r="AS41" s="181"/>
      <c r="AT41" s="181"/>
      <c r="AU41" s="181"/>
      <c r="AV41" s="181"/>
      <c r="AW41" s="181"/>
      <c r="AX41" s="181"/>
      <c r="AY41" s="181"/>
      <c r="AZ41" s="181"/>
      <c r="BA41" s="132" t="str">
        <f t="shared" si="7"/>
        <v>#NAME?</v>
      </c>
      <c r="BB41" s="132">
        <f t="shared" si="8"/>
        <v>34</v>
      </c>
    </row>
    <row r="42" ht="33.0" customHeight="1">
      <c r="A42" s="191"/>
      <c r="B42" s="25"/>
      <c r="C42" s="65"/>
      <c r="D42" s="65"/>
      <c r="E42" s="192"/>
      <c r="F42" s="62"/>
      <c r="G42" s="62"/>
      <c r="H42" s="62"/>
      <c r="I42" s="62"/>
      <c r="J42" s="62"/>
      <c r="K42" s="17"/>
      <c r="L42" s="232"/>
      <c r="M42" s="62"/>
      <c r="N42" s="62"/>
      <c r="O42" s="62"/>
      <c r="P42" s="62"/>
      <c r="Q42" s="62"/>
      <c r="R42" s="199"/>
      <c r="S42" s="192"/>
      <c r="T42" s="62"/>
      <c r="U42" s="62"/>
      <c r="V42" s="62"/>
      <c r="W42" s="62"/>
      <c r="X42" s="62"/>
      <c r="Y42" s="62"/>
      <c r="Z42" s="62"/>
      <c r="AA42" s="62"/>
      <c r="AB42" s="62"/>
      <c r="AC42" s="17"/>
      <c r="AD42" s="217" t="s">
        <v>106</v>
      </c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17"/>
      <c r="AS42" s="233"/>
      <c r="AT42" s="62"/>
      <c r="AU42" s="62"/>
      <c r="AV42" s="62"/>
      <c r="AW42" s="62"/>
      <c r="AX42" s="62"/>
      <c r="AY42" s="62"/>
      <c r="AZ42" s="62"/>
      <c r="BA42" s="199"/>
      <c r="BB42" s="6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S42:AC42"/>
    <mergeCell ref="AD42:AR42"/>
    <mergeCell ref="AS42:BA42"/>
    <mergeCell ref="C36:D36"/>
    <mergeCell ref="C37:D37"/>
    <mergeCell ref="C38:D38"/>
    <mergeCell ref="C39:D39"/>
    <mergeCell ref="B40:D42"/>
    <mergeCell ref="E42:K42"/>
    <mergeCell ref="L42:R42"/>
    <mergeCell ref="M4:AE4"/>
    <mergeCell ref="AH4:BA4"/>
    <mergeCell ref="M9:N9"/>
    <mergeCell ref="O9:S9"/>
    <mergeCell ref="T9:W9"/>
    <mergeCell ref="X9:AH9"/>
    <mergeCell ref="AI9:AL9"/>
    <mergeCell ref="AM9:AP9"/>
    <mergeCell ref="AQ9:AS9"/>
    <mergeCell ref="AT9:AV9"/>
    <mergeCell ref="B2:BA2"/>
    <mergeCell ref="B3:BA3"/>
    <mergeCell ref="B4:D9"/>
    <mergeCell ref="E4:K4"/>
    <mergeCell ref="L4:L7"/>
    <mergeCell ref="AF4:AF7"/>
    <mergeCell ref="AG4:AG7"/>
    <mergeCell ref="E9:H9"/>
    <mergeCell ref="I9:J9"/>
    <mergeCell ref="C10:D10"/>
    <mergeCell ref="C11:D11"/>
    <mergeCell ref="C12:D12"/>
    <mergeCell ref="C13:D13"/>
    <mergeCell ref="C14:D14"/>
  </mergeCells>
  <conditionalFormatting sqref="BB10:BB39">
    <cfRule type="colorScale" priority="1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9.57"/>
    <col customWidth="1" min="4" max="4" width="34.43"/>
    <col customWidth="1" min="7" max="7" width="7.57"/>
    <col customWidth="1" min="8" max="34" width="8.86"/>
  </cols>
  <sheetData>
    <row r="1">
      <c r="A1" s="60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60"/>
    </row>
    <row r="2">
      <c r="A2" s="234"/>
      <c r="B2" s="59" t="s">
        <v>107</v>
      </c>
      <c r="AH2" s="24"/>
      <c r="AI2" s="60"/>
    </row>
    <row r="3">
      <c r="A3" s="234"/>
      <c r="AH3" s="24"/>
      <c r="AI3" s="60"/>
    </row>
    <row r="4">
      <c r="A4" s="23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26"/>
      <c r="AI4" s="60"/>
    </row>
    <row r="5">
      <c r="A5" s="234"/>
      <c r="B5" s="235" t="s">
        <v>108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26"/>
      <c r="AI5" s="60"/>
    </row>
    <row r="6">
      <c r="A6" s="234"/>
      <c r="B6" s="66"/>
      <c r="C6" s="67"/>
      <c r="D6" s="67"/>
      <c r="E6" s="67"/>
      <c r="F6" s="236"/>
      <c r="G6" s="237"/>
      <c r="H6" s="238" t="s">
        <v>44</v>
      </c>
      <c r="I6" s="69"/>
      <c r="J6" s="69"/>
      <c r="K6" s="69"/>
      <c r="L6" s="69"/>
      <c r="M6" s="69"/>
      <c r="N6" s="69"/>
      <c r="O6" s="69"/>
      <c r="P6" s="69"/>
      <c r="Q6" s="73"/>
      <c r="R6" s="71" t="s">
        <v>45</v>
      </c>
      <c r="S6" s="71" t="s">
        <v>45</v>
      </c>
      <c r="T6" s="239" t="s">
        <v>101</v>
      </c>
      <c r="U6" s="69"/>
      <c r="V6" s="69"/>
      <c r="W6" s="69"/>
      <c r="X6" s="69"/>
      <c r="Y6" s="69"/>
      <c r="Z6" s="69"/>
      <c r="AA6" s="69"/>
      <c r="AB6" s="69"/>
      <c r="AC6" s="73"/>
      <c r="AD6" s="240" t="s">
        <v>109</v>
      </c>
      <c r="AE6" s="69"/>
      <c r="AF6" s="69"/>
      <c r="AG6" s="69"/>
      <c r="AH6" s="70"/>
      <c r="AI6" s="60"/>
    </row>
    <row r="7">
      <c r="A7" s="234"/>
      <c r="B7" s="76"/>
      <c r="F7" s="241"/>
      <c r="G7" s="80"/>
      <c r="H7" s="78">
        <v>1.0</v>
      </c>
      <c r="I7" s="78">
        <v>2.0</v>
      </c>
      <c r="J7" s="78">
        <v>3.0</v>
      </c>
      <c r="K7" s="78">
        <v>4.0</v>
      </c>
      <c r="L7" s="78"/>
      <c r="M7" s="84">
        <v>5.0</v>
      </c>
      <c r="N7" s="84">
        <v>6.0</v>
      </c>
      <c r="O7" s="84">
        <v>7.0</v>
      </c>
      <c r="P7" s="84">
        <v>8.0</v>
      </c>
      <c r="Q7" s="84">
        <v>9.0</v>
      </c>
      <c r="R7" s="80"/>
      <c r="S7" s="80"/>
      <c r="T7" s="84">
        <v>10.0</v>
      </c>
      <c r="U7" s="84">
        <v>11.0</v>
      </c>
      <c r="V7" s="84">
        <v>12.0</v>
      </c>
      <c r="W7" s="84">
        <v>13.0</v>
      </c>
      <c r="X7" s="84">
        <v>14.0</v>
      </c>
      <c r="Y7" s="84">
        <v>15.0</v>
      </c>
      <c r="Z7" s="84">
        <v>16.0</v>
      </c>
      <c r="AA7" s="84"/>
      <c r="AB7" s="84">
        <v>17.0</v>
      </c>
      <c r="AC7" s="84">
        <v>18.0</v>
      </c>
      <c r="AD7" s="84">
        <v>19.0</v>
      </c>
      <c r="AE7" s="84">
        <v>20.0</v>
      </c>
      <c r="AF7" s="84">
        <v>21.0</v>
      </c>
      <c r="AG7" s="84">
        <v>22.0</v>
      </c>
      <c r="AH7" s="84">
        <v>23.0</v>
      </c>
      <c r="AI7" s="60"/>
    </row>
    <row r="8">
      <c r="A8" s="234"/>
      <c r="B8" s="76"/>
      <c r="F8" s="241"/>
      <c r="G8" s="80"/>
      <c r="H8" s="90" t="s">
        <v>49</v>
      </c>
      <c r="I8" s="90" t="s">
        <v>50</v>
      </c>
      <c r="J8" s="90" t="s">
        <v>49</v>
      </c>
      <c r="K8" s="90" t="s">
        <v>50</v>
      </c>
      <c r="L8" s="90"/>
      <c r="M8" s="90" t="s">
        <v>49</v>
      </c>
      <c r="N8" s="90" t="s">
        <v>50</v>
      </c>
      <c r="O8" s="90" t="s">
        <v>50</v>
      </c>
      <c r="P8" s="90" t="s">
        <v>49</v>
      </c>
      <c r="Q8" s="90" t="s">
        <v>50</v>
      </c>
      <c r="R8" s="80"/>
      <c r="S8" s="80"/>
      <c r="T8" s="90" t="s">
        <v>50</v>
      </c>
      <c r="U8" s="90" t="s">
        <v>49</v>
      </c>
      <c r="V8" s="90" t="s">
        <v>50</v>
      </c>
      <c r="W8" s="90" t="s">
        <v>49</v>
      </c>
      <c r="X8" s="90" t="s">
        <v>50</v>
      </c>
      <c r="Y8" s="90" t="s">
        <v>49</v>
      </c>
      <c r="Z8" s="90" t="s">
        <v>49</v>
      </c>
      <c r="AA8" s="90"/>
      <c r="AB8" s="90" t="s">
        <v>50</v>
      </c>
      <c r="AC8" s="90" t="s">
        <v>49</v>
      </c>
      <c r="AD8" s="90" t="s">
        <v>50</v>
      </c>
      <c r="AE8" s="90" t="s">
        <v>49</v>
      </c>
      <c r="AF8" s="90" t="s">
        <v>50</v>
      </c>
      <c r="AG8" s="90" t="s">
        <v>49</v>
      </c>
      <c r="AH8" s="90" t="s">
        <v>48</v>
      </c>
      <c r="AI8" s="60"/>
    </row>
    <row r="9" ht="322.5" customHeight="1">
      <c r="A9" s="234"/>
      <c r="B9" s="76"/>
      <c r="F9" s="241"/>
      <c r="G9" s="80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242"/>
      <c r="S9" s="242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243" t="s">
        <v>110</v>
      </c>
      <c r="AI9" s="60"/>
    </row>
    <row r="10">
      <c r="A10" s="234"/>
      <c r="B10" s="76"/>
      <c r="F10" s="241"/>
      <c r="G10" s="80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60"/>
    </row>
    <row r="11">
      <c r="A11" s="234"/>
      <c r="B11" s="76"/>
      <c r="F11" s="241"/>
      <c r="G11" s="80"/>
      <c r="H11" s="244"/>
      <c r="I11" s="244"/>
      <c r="J11" s="244"/>
      <c r="K11" s="244"/>
      <c r="L11" s="101"/>
      <c r="M11" s="244"/>
      <c r="N11" s="244"/>
      <c r="O11" s="244"/>
      <c r="P11" s="244"/>
      <c r="Q11" s="244"/>
      <c r="R11" s="86"/>
      <c r="S11" s="86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90"/>
      <c r="AI11" s="60"/>
    </row>
    <row r="12">
      <c r="A12" s="162"/>
      <c r="B12" s="105"/>
      <c r="C12" s="106"/>
      <c r="D12" s="106"/>
      <c r="E12" s="106"/>
      <c r="F12" s="245"/>
      <c r="G12" s="80"/>
      <c r="H12" s="246" t="s">
        <v>67</v>
      </c>
      <c r="I12" s="62"/>
      <c r="J12" s="17"/>
      <c r="K12" s="247" t="s">
        <v>68</v>
      </c>
      <c r="L12" s="110"/>
      <c r="M12" s="110"/>
      <c r="N12" s="109"/>
      <c r="O12" s="248" t="s">
        <v>69</v>
      </c>
      <c r="P12" s="249"/>
      <c r="Q12" s="249"/>
      <c r="R12" s="249"/>
      <c r="S12" s="250"/>
      <c r="T12" s="107" t="s">
        <v>70</v>
      </c>
      <c r="U12" s="69"/>
      <c r="V12" s="69"/>
      <c r="W12" s="70"/>
      <c r="X12" s="107" t="s">
        <v>71</v>
      </c>
      <c r="Y12" s="69"/>
      <c r="Z12" s="69"/>
      <c r="AA12" s="70"/>
      <c r="AB12" s="107" t="s">
        <v>72</v>
      </c>
      <c r="AC12" s="69"/>
      <c r="AD12" s="69"/>
      <c r="AE12" s="70"/>
      <c r="AF12" s="107" t="s">
        <v>73</v>
      </c>
      <c r="AG12" s="69"/>
      <c r="AH12" s="70"/>
      <c r="AI12" s="60"/>
    </row>
    <row r="13">
      <c r="A13" s="60"/>
      <c r="B13" s="251">
        <v>1.0</v>
      </c>
      <c r="C13" s="252" t="s">
        <v>111</v>
      </c>
      <c r="D13" s="22"/>
      <c r="E13" s="253" t="s">
        <v>112</v>
      </c>
      <c r="F13" s="254">
        <f t="shared" ref="F13:F61" si="1">SUM(H13:K13,M13:Q13,T13:Z13,AB13:AH13)</f>
        <v>0</v>
      </c>
      <c r="G13" s="80"/>
      <c r="H13" s="119"/>
      <c r="I13" s="119"/>
      <c r="J13" s="151"/>
      <c r="K13" s="151"/>
      <c r="L13" s="255" t="s">
        <v>113</v>
      </c>
      <c r="M13" s="151"/>
      <c r="N13" s="151"/>
      <c r="O13" s="151"/>
      <c r="P13" s="151"/>
      <c r="Q13" s="151"/>
      <c r="R13" s="256" t="s">
        <v>45</v>
      </c>
      <c r="S13" s="256" t="s">
        <v>45</v>
      </c>
      <c r="T13" s="151"/>
      <c r="U13" s="151"/>
      <c r="V13" s="257"/>
      <c r="W13" s="257"/>
      <c r="X13" s="151"/>
      <c r="Y13" s="151"/>
      <c r="Z13" s="151"/>
      <c r="AA13" s="255" t="s">
        <v>113</v>
      </c>
      <c r="AB13" s="151"/>
      <c r="AC13" s="151"/>
      <c r="AD13" s="151"/>
      <c r="AE13" s="151"/>
      <c r="AF13" s="151"/>
      <c r="AG13" s="258"/>
      <c r="AH13" s="259"/>
      <c r="AI13" s="60"/>
    </row>
    <row r="14">
      <c r="A14" s="60"/>
      <c r="B14" s="260"/>
      <c r="C14" s="261"/>
      <c r="D14" s="118"/>
      <c r="E14" s="262" t="s">
        <v>114</v>
      </c>
      <c r="F14" s="254">
        <f t="shared" si="1"/>
        <v>0</v>
      </c>
      <c r="G14" s="80"/>
      <c r="H14" s="119"/>
      <c r="I14" s="119"/>
      <c r="J14" s="151"/>
      <c r="K14" s="151"/>
      <c r="L14" s="263"/>
      <c r="M14" s="151"/>
      <c r="N14" s="151"/>
      <c r="O14" s="151"/>
      <c r="P14" s="151"/>
      <c r="Q14" s="151"/>
      <c r="R14" s="263"/>
      <c r="S14" s="263"/>
      <c r="T14" s="151"/>
      <c r="U14" s="151"/>
      <c r="V14" s="264"/>
      <c r="W14" s="264"/>
      <c r="X14" s="151"/>
      <c r="Y14" s="151"/>
      <c r="Z14" s="151"/>
      <c r="AA14" s="263"/>
      <c r="AB14" s="151"/>
      <c r="AC14" s="151"/>
      <c r="AD14" s="151"/>
      <c r="AE14" s="151"/>
      <c r="AF14" s="151"/>
      <c r="AG14" s="158"/>
      <c r="AH14" s="259"/>
      <c r="AI14" s="60"/>
    </row>
    <row r="15">
      <c r="A15" s="60"/>
      <c r="B15" s="265">
        <v>2.0</v>
      </c>
      <c r="C15" s="266" t="s">
        <v>115</v>
      </c>
      <c r="D15" s="24"/>
      <c r="E15" s="253" t="s">
        <v>112</v>
      </c>
      <c r="F15" s="267">
        <f t="shared" si="1"/>
        <v>0</v>
      </c>
      <c r="G15" s="80"/>
      <c r="H15" s="119"/>
      <c r="I15" s="119"/>
      <c r="J15" s="151"/>
      <c r="K15" s="151"/>
      <c r="L15" s="263"/>
      <c r="M15" s="151"/>
      <c r="N15" s="151"/>
      <c r="O15" s="151"/>
      <c r="P15" s="151"/>
      <c r="Q15" s="151"/>
      <c r="R15" s="263"/>
      <c r="S15" s="263"/>
      <c r="T15" s="151"/>
      <c r="U15" s="151"/>
      <c r="V15" s="264"/>
      <c r="W15" s="264"/>
      <c r="X15" s="151"/>
      <c r="Y15" s="151"/>
      <c r="Z15" s="151"/>
      <c r="AA15" s="263"/>
      <c r="AB15" s="151"/>
      <c r="AC15" s="151"/>
      <c r="AD15" s="151"/>
      <c r="AE15" s="151"/>
      <c r="AF15" s="151"/>
      <c r="AG15" s="158"/>
      <c r="AH15" s="259"/>
      <c r="AI15" s="60"/>
    </row>
    <row r="16">
      <c r="A16" s="162"/>
      <c r="B16" s="260"/>
      <c r="C16" s="106"/>
      <c r="D16" s="118"/>
      <c r="E16" s="262" t="s">
        <v>114</v>
      </c>
      <c r="F16" s="267">
        <f t="shared" si="1"/>
        <v>0</v>
      </c>
      <c r="G16" s="80"/>
      <c r="H16" s="119"/>
      <c r="I16" s="119"/>
      <c r="J16" s="151"/>
      <c r="K16" s="151"/>
      <c r="L16" s="263"/>
      <c r="M16" s="151"/>
      <c r="N16" s="151"/>
      <c r="O16" s="151"/>
      <c r="P16" s="151"/>
      <c r="Q16" s="151"/>
      <c r="R16" s="263"/>
      <c r="S16" s="263"/>
      <c r="T16" s="151"/>
      <c r="U16" s="151"/>
      <c r="V16" s="264"/>
      <c r="W16" s="264"/>
      <c r="X16" s="151"/>
      <c r="Y16" s="151"/>
      <c r="Z16" s="151"/>
      <c r="AA16" s="263"/>
      <c r="AB16" s="151"/>
      <c r="AC16" s="151"/>
      <c r="AD16" s="151"/>
      <c r="AE16" s="151"/>
      <c r="AF16" s="151"/>
      <c r="AG16" s="158"/>
      <c r="AH16" s="259"/>
      <c r="AI16" s="60"/>
    </row>
    <row r="17">
      <c r="A17" s="60"/>
      <c r="B17" s="251">
        <v>3.0</v>
      </c>
      <c r="C17" s="252" t="s">
        <v>116</v>
      </c>
      <c r="D17" s="22"/>
      <c r="E17" s="253" t="s">
        <v>112</v>
      </c>
      <c r="F17" s="268">
        <f t="shared" si="1"/>
        <v>0</v>
      </c>
      <c r="G17" s="80"/>
      <c r="H17" s="119"/>
      <c r="I17" s="119"/>
      <c r="J17" s="151"/>
      <c r="K17" s="151"/>
      <c r="L17" s="263"/>
      <c r="M17" s="151"/>
      <c r="N17" s="151"/>
      <c r="O17" s="151"/>
      <c r="P17" s="151"/>
      <c r="Q17" s="151"/>
      <c r="R17" s="263"/>
      <c r="S17" s="263"/>
      <c r="T17" s="151"/>
      <c r="U17" s="151"/>
      <c r="V17" s="264"/>
      <c r="W17" s="264"/>
      <c r="X17" s="151"/>
      <c r="Y17" s="151"/>
      <c r="Z17" s="151"/>
      <c r="AA17" s="263"/>
      <c r="AB17" s="151"/>
      <c r="AC17" s="151"/>
      <c r="AD17" s="151"/>
      <c r="AE17" s="151"/>
      <c r="AF17" s="151"/>
      <c r="AG17" s="158"/>
      <c r="AH17" s="259"/>
      <c r="AI17" s="60"/>
    </row>
    <row r="18">
      <c r="A18" s="60"/>
      <c r="B18" s="260"/>
      <c r="C18" s="261"/>
      <c r="D18" s="118"/>
      <c r="E18" s="262" t="s">
        <v>114</v>
      </c>
      <c r="F18" s="268">
        <f t="shared" si="1"/>
        <v>0</v>
      </c>
      <c r="G18" s="80"/>
      <c r="H18" s="119"/>
      <c r="I18" s="119"/>
      <c r="J18" s="151"/>
      <c r="K18" s="151"/>
      <c r="L18" s="263"/>
      <c r="M18" s="151"/>
      <c r="N18" s="151"/>
      <c r="O18" s="151"/>
      <c r="P18" s="151"/>
      <c r="Q18" s="151"/>
      <c r="R18" s="263"/>
      <c r="S18" s="263"/>
      <c r="T18" s="151"/>
      <c r="U18" s="151"/>
      <c r="V18" s="264"/>
      <c r="W18" s="264"/>
      <c r="X18" s="151"/>
      <c r="Y18" s="151"/>
      <c r="Z18" s="151"/>
      <c r="AA18" s="263"/>
      <c r="AB18" s="151"/>
      <c r="AC18" s="151"/>
      <c r="AD18" s="151"/>
      <c r="AE18" s="151"/>
      <c r="AF18" s="151"/>
      <c r="AG18" s="158"/>
      <c r="AH18" s="259"/>
      <c r="AI18" s="60"/>
    </row>
    <row r="19">
      <c r="A19" s="60"/>
      <c r="B19" s="265">
        <v>4.0</v>
      </c>
      <c r="C19" s="266" t="s">
        <v>117</v>
      </c>
      <c r="D19" s="24"/>
      <c r="E19" s="253" t="s">
        <v>112</v>
      </c>
      <c r="F19" s="253">
        <f t="shared" si="1"/>
        <v>1</v>
      </c>
      <c r="G19" s="80"/>
      <c r="H19" s="119"/>
      <c r="I19" s="119"/>
      <c r="J19" s="151"/>
      <c r="K19" s="151"/>
      <c r="L19" s="263"/>
      <c r="M19" s="151"/>
      <c r="N19" s="129">
        <v>1.0</v>
      </c>
      <c r="O19" s="151"/>
      <c r="P19" s="151"/>
      <c r="Q19" s="151"/>
      <c r="R19" s="263"/>
      <c r="S19" s="263"/>
      <c r="T19" s="151"/>
      <c r="U19" s="151"/>
      <c r="V19" s="264"/>
      <c r="W19" s="264"/>
      <c r="X19" s="151"/>
      <c r="Y19" s="151"/>
      <c r="Z19" s="151"/>
      <c r="AA19" s="263"/>
      <c r="AB19" s="151"/>
      <c r="AC19" s="151"/>
      <c r="AD19" s="151"/>
      <c r="AE19" s="151"/>
      <c r="AF19" s="151"/>
      <c r="AG19" s="158"/>
      <c r="AH19" s="259"/>
      <c r="AI19" s="60"/>
    </row>
    <row r="20">
      <c r="A20" s="162"/>
      <c r="B20" s="260"/>
      <c r="C20" s="106"/>
      <c r="D20" s="118"/>
      <c r="E20" s="262" t="s">
        <v>114</v>
      </c>
      <c r="F20" s="267">
        <f t="shared" si="1"/>
        <v>0</v>
      </c>
      <c r="G20" s="80"/>
      <c r="H20" s="119"/>
      <c r="I20" s="119"/>
      <c r="J20" s="151"/>
      <c r="K20" s="151"/>
      <c r="L20" s="263"/>
      <c r="M20" s="151"/>
      <c r="N20" s="151"/>
      <c r="O20" s="151"/>
      <c r="P20" s="151"/>
      <c r="Q20" s="151"/>
      <c r="R20" s="263"/>
      <c r="S20" s="263"/>
      <c r="T20" s="151"/>
      <c r="U20" s="151"/>
      <c r="V20" s="264"/>
      <c r="W20" s="264"/>
      <c r="X20" s="151"/>
      <c r="Y20" s="151"/>
      <c r="Z20" s="151"/>
      <c r="AA20" s="263"/>
      <c r="AB20" s="151"/>
      <c r="AC20" s="151"/>
      <c r="AD20" s="151"/>
      <c r="AE20" s="151"/>
      <c r="AF20" s="151"/>
      <c r="AG20" s="158"/>
      <c r="AH20" s="259"/>
      <c r="AI20" s="60"/>
    </row>
    <row r="21">
      <c r="A21" s="60"/>
      <c r="B21" s="251">
        <v>5.0</v>
      </c>
      <c r="C21" s="252" t="s">
        <v>118</v>
      </c>
      <c r="D21" s="22"/>
      <c r="E21" s="253" t="s">
        <v>112</v>
      </c>
      <c r="F21" s="253">
        <f t="shared" si="1"/>
        <v>1</v>
      </c>
      <c r="G21" s="80"/>
      <c r="H21" s="119"/>
      <c r="I21" s="119"/>
      <c r="J21" s="151"/>
      <c r="K21" s="151"/>
      <c r="L21" s="263"/>
      <c r="M21" s="151"/>
      <c r="N21" s="151"/>
      <c r="O21" s="151"/>
      <c r="P21" s="151"/>
      <c r="Q21" s="151"/>
      <c r="R21" s="263"/>
      <c r="S21" s="263"/>
      <c r="T21" s="151"/>
      <c r="U21" s="151"/>
      <c r="V21" s="264"/>
      <c r="W21" s="129">
        <v>1.0</v>
      </c>
      <c r="X21" s="151"/>
      <c r="Y21" s="151"/>
      <c r="Z21" s="151"/>
      <c r="AA21" s="263"/>
      <c r="AB21" s="151"/>
      <c r="AC21" s="151"/>
      <c r="AD21" s="151"/>
      <c r="AE21" s="151"/>
      <c r="AF21" s="151"/>
      <c r="AG21" s="158"/>
      <c r="AH21" s="259"/>
      <c r="AI21" s="60"/>
    </row>
    <row r="22">
      <c r="A22" s="60"/>
      <c r="B22" s="260"/>
      <c r="C22" s="261"/>
      <c r="D22" s="118"/>
      <c r="E22" s="262" t="s">
        <v>114</v>
      </c>
      <c r="F22" s="254">
        <f t="shared" si="1"/>
        <v>0</v>
      </c>
      <c r="G22" s="80"/>
      <c r="H22" s="119"/>
      <c r="I22" s="119"/>
      <c r="J22" s="151"/>
      <c r="K22" s="151"/>
      <c r="L22" s="263"/>
      <c r="M22" s="151"/>
      <c r="N22" s="151"/>
      <c r="O22" s="151"/>
      <c r="P22" s="151"/>
      <c r="Q22" s="151"/>
      <c r="R22" s="263"/>
      <c r="S22" s="263"/>
      <c r="T22" s="151"/>
      <c r="U22" s="151"/>
      <c r="V22" s="264"/>
      <c r="W22" s="264"/>
      <c r="X22" s="151"/>
      <c r="Y22" s="151"/>
      <c r="Z22" s="151"/>
      <c r="AA22" s="263"/>
      <c r="AB22" s="151"/>
      <c r="AC22" s="151"/>
      <c r="AD22" s="151"/>
      <c r="AE22" s="151"/>
      <c r="AF22" s="151"/>
      <c r="AG22" s="158"/>
      <c r="AH22" s="259"/>
      <c r="AI22" s="60"/>
    </row>
    <row r="23">
      <c r="A23" s="60"/>
      <c r="B23" s="265">
        <v>6.0</v>
      </c>
      <c r="C23" s="266" t="s">
        <v>119</v>
      </c>
      <c r="D23" s="24"/>
      <c r="E23" s="253" t="s">
        <v>112</v>
      </c>
      <c r="F23" s="267">
        <f t="shared" si="1"/>
        <v>0</v>
      </c>
      <c r="G23" s="80"/>
      <c r="H23" s="119"/>
      <c r="I23" s="119"/>
      <c r="J23" s="151"/>
      <c r="K23" s="151"/>
      <c r="L23" s="263"/>
      <c r="M23" s="151"/>
      <c r="N23" s="151"/>
      <c r="O23" s="151"/>
      <c r="P23" s="151"/>
      <c r="Q23" s="151"/>
      <c r="R23" s="263"/>
      <c r="S23" s="263"/>
      <c r="T23" s="151"/>
      <c r="U23" s="151"/>
      <c r="V23" s="264"/>
      <c r="W23" s="264"/>
      <c r="X23" s="151"/>
      <c r="Y23" s="151"/>
      <c r="Z23" s="151"/>
      <c r="AA23" s="263"/>
      <c r="AB23" s="151"/>
      <c r="AC23" s="151"/>
      <c r="AD23" s="151"/>
      <c r="AE23" s="151"/>
      <c r="AF23" s="151"/>
      <c r="AG23" s="158"/>
      <c r="AH23" s="259"/>
      <c r="AI23" s="60"/>
    </row>
    <row r="24">
      <c r="A24" s="162"/>
      <c r="B24" s="260"/>
      <c r="C24" s="106"/>
      <c r="D24" s="118"/>
      <c r="E24" s="262" t="s">
        <v>114</v>
      </c>
      <c r="F24" s="267">
        <f t="shared" si="1"/>
        <v>0</v>
      </c>
      <c r="G24" s="80"/>
      <c r="H24" s="119"/>
      <c r="I24" s="119"/>
      <c r="J24" s="151"/>
      <c r="K24" s="151"/>
      <c r="L24" s="263"/>
      <c r="M24" s="151"/>
      <c r="N24" s="151"/>
      <c r="O24" s="151"/>
      <c r="P24" s="151"/>
      <c r="Q24" s="151"/>
      <c r="R24" s="263"/>
      <c r="S24" s="263"/>
      <c r="T24" s="151"/>
      <c r="U24" s="151"/>
      <c r="V24" s="264"/>
      <c r="W24" s="264"/>
      <c r="X24" s="151"/>
      <c r="Y24" s="151"/>
      <c r="Z24" s="151"/>
      <c r="AA24" s="263"/>
      <c r="AB24" s="151"/>
      <c r="AC24" s="151"/>
      <c r="AD24" s="151"/>
      <c r="AE24" s="151"/>
      <c r="AF24" s="151"/>
      <c r="AG24" s="158"/>
      <c r="AH24" s="259"/>
      <c r="AI24" s="60"/>
    </row>
    <row r="25">
      <c r="A25" s="60"/>
      <c r="B25" s="251">
        <v>7.0</v>
      </c>
      <c r="C25" s="252" t="s">
        <v>120</v>
      </c>
      <c r="D25" s="22"/>
      <c r="E25" s="253" t="s">
        <v>112</v>
      </c>
      <c r="F25" s="253">
        <f t="shared" si="1"/>
        <v>1</v>
      </c>
      <c r="G25" s="80"/>
      <c r="H25" s="119"/>
      <c r="I25" s="119"/>
      <c r="J25" s="151"/>
      <c r="K25" s="151"/>
      <c r="L25" s="263"/>
      <c r="M25" s="129">
        <v>1.0</v>
      </c>
      <c r="N25" s="151"/>
      <c r="O25" s="151"/>
      <c r="P25" s="151"/>
      <c r="Q25" s="151"/>
      <c r="R25" s="263"/>
      <c r="S25" s="263"/>
      <c r="T25" s="151"/>
      <c r="U25" s="151"/>
      <c r="V25" s="264"/>
      <c r="W25" s="264"/>
      <c r="X25" s="151"/>
      <c r="Y25" s="151"/>
      <c r="Z25" s="151"/>
      <c r="AA25" s="263"/>
      <c r="AB25" s="151"/>
      <c r="AC25" s="151"/>
      <c r="AD25" s="151"/>
      <c r="AE25" s="151"/>
      <c r="AF25" s="151"/>
      <c r="AG25" s="158"/>
      <c r="AH25" s="259"/>
      <c r="AI25" s="60"/>
    </row>
    <row r="26">
      <c r="A26" s="60"/>
      <c r="B26" s="260"/>
      <c r="C26" s="261"/>
      <c r="D26" s="118"/>
      <c r="E26" s="262" t="s">
        <v>114</v>
      </c>
      <c r="F26" s="254">
        <f t="shared" si="1"/>
        <v>0</v>
      </c>
      <c r="G26" s="80"/>
      <c r="H26" s="119"/>
      <c r="I26" s="119"/>
      <c r="J26" s="151"/>
      <c r="K26" s="151"/>
      <c r="L26" s="263"/>
      <c r="M26" s="151"/>
      <c r="N26" s="151"/>
      <c r="O26" s="151"/>
      <c r="P26" s="151"/>
      <c r="Q26" s="151"/>
      <c r="R26" s="263"/>
      <c r="S26" s="263"/>
      <c r="T26" s="151"/>
      <c r="U26" s="151"/>
      <c r="V26" s="264"/>
      <c r="W26" s="264"/>
      <c r="X26" s="151"/>
      <c r="Y26" s="151"/>
      <c r="Z26" s="151"/>
      <c r="AA26" s="263"/>
      <c r="AB26" s="151"/>
      <c r="AC26" s="151"/>
      <c r="AD26" s="151"/>
      <c r="AE26" s="151"/>
      <c r="AF26" s="151"/>
      <c r="AG26" s="158"/>
      <c r="AH26" s="259"/>
      <c r="AI26" s="60"/>
    </row>
    <row r="27">
      <c r="A27" s="60"/>
      <c r="B27" s="265">
        <v>8.0</v>
      </c>
      <c r="C27" s="266" t="s">
        <v>121</v>
      </c>
      <c r="D27" s="24"/>
      <c r="E27" s="253" t="s">
        <v>112</v>
      </c>
      <c r="F27" s="267">
        <f t="shared" si="1"/>
        <v>0</v>
      </c>
      <c r="G27" s="80"/>
      <c r="H27" s="119"/>
      <c r="I27" s="119"/>
      <c r="J27" s="151"/>
      <c r="K27" s="151"/>
      <c r="L27" s="263"/>
      <c r="M27" s="151"/>
      <c r="N27" s="151"/>
      <c r="O27" s="151"/>
      <c r="P27" s="151"/>
      <c r="Q27" s="151"/>
      <c r="R27" s="263"/>
      <c r="S27" s="263"/>
      <c r="T27" s="151"/>
      <c r="U27" s="151"/>
      <c r="V27" s="264"/>
      <c r="W27" s="264"/>
      <c r="X27" s="151"/>
      <c r="Y27" s="151"/>
      <c r="Z27" s="151"/>
      <c r="AA27" s="263"/>
      <c r="AB27" s="151"/>
      <c r="AC27" s="151"/>
      <c r="AD27" s="151"/>
      <c r="AE27" s="151"/>
      <c r="AF27" s="151"/>
      <c r="AG27" s="158"/>
      <c r="AH27" s="259"/>
      <c r="AI27" s="60"/>
    </row>
    <row r="28">
      <c r="A28" s="162"/>
      <c r="B28" s="260"/>
      <c r="C28" s="106"/>
      <c r="D28" s="118"/>
      <c r="E28" s="262" t="s">
        <v>114</v>
      </c>
      <c r="F28" s="267">
        <f t="shared" si="1"/>
        <v>0</v>
      </c>
      <c r="G28" s="80"/>
      <c r="H28" s="119"/>
      <c r="I28" s="119"/>
      <c r="J28" s="151"/>
      <c r="K28" s="151"/>
      <c r="L28" s="263"/>
      <c r="M28" s="151"/>
      <c r="N28" s="151"/>
      <c r="O28" s="151"/>
      <c r="P28" s="151"/>
      <c r="Q28" s="151"/>
      <c r="R28" s="263"/>
      <c r="S28" s="263"/>
      <c r="T28" s="151"/>
      <c r="U28" s="151"/>
      <c r="V28" s="264"/>
      <c r="W28" s="264"/>
      <c r="X28" s="151"/>
      <c r="Y28" s="151"/>
      <c r="Z28" s="151"/>
      <c r="AA28" s="263"/>
      <c r="AB28" s="151"/>
      <c r="AC28" s="151"/>
      <c r="AD28" s="151"/>
      <c r="AE28" s="151"/>
      <c r="AF28" s="151"/>
      <c r="AG28" s="158"/>
      <c r="AH28" s="259"/>
      <c r="AI28" s="60"/>
    </row>
    <row r="29">
      <c r="A29" s="60"/>
      <c r="B29" s="251">
        <v>9.0</v>
      </c>
      <c r="C29" s="252" t="s">
        <v>122</v>
      </c>
      <c r="D29" s="22"/>
      <c r="E29" s="253" t="s">
        <v>112</v>
      </c>
      <c r="F29" s="253">
        <f t="shared" si="1"/>
        <v>1</v>
      </c>
      <c r="G29" s="80"/>
      <c r="H29" s="119"/>
      <c r="I29" s="119"/>
      <c r="J29" s="151"/>
      <c r="K29" s="151"/>
      <c r="L29" s="263"/>
      <c r="M29" s="151"/>
      <c r="N29" s="151"/>
      <c r="O29" s="151"/>
      <c r="P29" s="151"/>
      <c r="Q29" s="151"/>
      <c r="R29" s="263"/>
      <c r="S29" s="263"/>
      <c r="T29" s="151"/>
      <c r="U29" s="151"/>
      <c r="V29" s="264"/>
      <c r="W29" s="264"/>
      <c r="X29" s="151"/>
      <c r="Y29" s="151"/>
      <c r="Z29" s="151"/>
      <c r="AA29" s="263"/>
      <c r="AB29" s="151"/>
      <c r="AC29" s="151"/>
      <c r="AD29" s="151"/>
      <c r="AE29" s="129">
        <v>1.0</v>
      </c>
      <c r="AF29" s="151"/>
      <c r="AG29" s="158"/>
      <c r="AH29" s="259"/>
      <c r="AI29" s="60"/>
    </row>
    <row r="30">
      <c r="A30" s="60"/>
      <c r="B30" s="260"/>
      <c r="C30" s="261"/>
      <c r="D30" s="118"/>
      <c r="E30" s="262" t="s">
        <v>114</v>
      </c>
      <c r="F30" s="254">
        <f t="shared" si="1"/>
        <v>0</v>
      </c>
      <c r="G30" s="80"/>
      <c r="H30" s="119"/>
      <c r="I30" s="119"/>
      <c r="J30" s="151"/>
      <c r="K30" s="151"/>
      <c r="L30" s="263"/>
      <c r="M30" s="151"/>
      <c r="N30" s="151"/>
      <c r="O30" s="151"/>
      <c r="P30" s="151"/>
      <c r="Q30" s="151"/>
      <c r="R30" s="263"/>
      <c r="S30" s="263"/>
      <c r="T30" s="151"/>
      <c r="U30" s="151"/>
      <c r="V30" s="264"/>
      <c r="W30" s="264"/>
      <c r="X30" s="151"/>
      <c r="Y30" s="151"/>
      <c r="Z30" s="151"/>
      <c r="AA30" s="263"/>
      <c r="AB30" s="151"/>
      <c r="AC30" s="151"/>
      <c r="AD30" s="151"/>
      <c r="AE30" s="151"/>
      <c r="AF30" s="151"/>
      <c r="AG30" s="158"/>
      <c r="AH30" s="259"/>
      <c r="AI30" s="60"/>
    </row>
    <row r="31">
      <c r="A31" s="60"/>
      <c r="B31" s="265">
        <v>10.0</v>
      </c>
      <c r="C31" s="266" t="s">
        <v>123</v>
      </c>
      <c r="D31" s="24"/>
      <c r="E31" s="253" t="s">
        <v>112</v>
      </c>
      <c r="F31" s="253">
        <f t="shared" si="1"/>
        <v>1</v>
      </c>
      <c r="G31" s="80"/>
      <c r="H31" s="119"/>
      <c r="I31" s="119"/>
      <c r="J31" s="151"/>
      <c r="K31" s="151"/>
      <c r="L31" s="263"/>
      <c r="M31" s="151"/>
      <c r="N31" s="269"/>
      <c r="O31" s="151"/>
      <c r="P31" s="129">
        <v>1.0</v>
      </c>
      <c r="Q31" s="151"/>
      <c r="R31" s="263"/>
      <c r="S31" s="263"/>
      <c r="T31" s="151"/>
      <c r="U31" s="151"/>
      <c r="V31" s="264"/>
      <c r="W31" s="264"/>
      <c r="X31" s="151"/>
      <c r="Y31" s="151"/>
      <c r="Z31" s="151"/>
      <c r="AA31" s="263"/>
      <c r="AB31" s="151"/>
      <c r="AC31" s="151"/>
      <c r="AD31" s="151"/>
      <c r="AE31" s="151"/>
      <c r="AF31" s="151"/>
      <c r="AG31" s="158"/>
      <c r="AH31" s="259"/>
      <c r="AI31" s="60"/>
    </row>
    <row r="32">
      <c r="A32" s="162"/>
      <c r="B32" s="260"/>
      <c r="C32" s="106"/>
      <c r="D32" s="118"/>
      <c r="E32" s="262" t="s">
        <v>114</v>
      </c>
      <c r="F32" s="267">
        <f t="shared" si="1"/>
        <v>0</v>
      </c>
      <c r="G32" s="80"/>
      <c r="H32" s="119"/>
      <c r="I32" s="119"/>
      <c r="J32" s="151"/>
      <c r="K32" s="151"/>
      <c r="L32" s="263"/>
      <c r="M32" s="151"/>
      <c r="N32" s="151"/>
      <c r="O32" s="151"/>
      <c r="P32" s="151"/>
      <c r="Q32" s="151"/>
      <c r="R32" s="263"/>
      <c r="S32" s="263"/>
      <c r="T32" s="151"/>
      <c r="U32" s="151"/>
      <c r="V32" s="264"/>
      <c r="W32" s="264"/>
      <c r="X32" s="151"/>
      <c r="Y32" s="151"/>
      <c r="Z32" s="151"/>
      <c r="AA32" s="263"/>
      <c r="AB32" s="151"/>
      <c r="AC32" s="151"/>
      <c r="AD32" s="151"/>
      <c r="AE32" s="151"/>
      <c r="AF32" s="151"/>
      <c r="AG32" s="158"/>
      <c r="AH32" s="259"/>
      <c r="AI32" s="60"/>
    </row>
    <row r="33">
      <c r="A33" s="60"/>
      <c r="B33" s="251">
        <v>11.0</v>
      </c>
      <c r="C33" s="252" t="s">
        <v>124</v>
      </c>
      <c r="D33" s="22"/>
      <c r="E33" s="253" t="s">
        <v>112</v>
      </c>
      <c r="F33" s="254">
        <f t="shared" si="1"/>
        <v>0</v>
      </c>
      <c r="G33" s="80"/>
      <c r="H33" s="119"/>
      <c r="I33" s="119"/>
      <c r="J33" s="151"/>
      <c r="K33" s="151"/>
      <c r="L33" s="263"/>
      <c r="M33" s="151"/>
      <c r="N33" s="151"/>
      <c r="O33" s="151"/>
      <c r="P33" s="151"/>
      <c r="Q33" s="151"/>
      <c r="R33" s="263"/>
      <c r="S33" s="263"/>
      <c r="T33" s="151"/>
      <c r="U33" s="151"/>
      <c r="V33" s="264"/>
      <c r="W33" s="264"/>
      <c r="X33" s="151"/>
      <c r="Y33" s="151"/>
      <c r="Z33" s="151"/>
      <c r="AA33" s="263"/>
      <c r="AB33" s="151"/>
      <c r="AC33" s="151"/>
      <c r="AD33" s="151"/>
      <c r="AE33" s="151"/>
      <c r="AF33" s="151"/>
      <c r="AG33" s="158"/>
      <c r="AH33" s="259"/>
      <c r="AI33" s="60"/>
    </row>
    <row r="34">
      <c r="A34" s="60"/>
      <c r="B34" s="260"/>
      <c r="C34" s="261"/>
      <c r="D34" s="118"/>
      <c r="E34" s="262" t="s">
        <v>114</v>
      </c>
      <c r="F34" s="254">
        <f t="shared" si="1"/>
        <v>0</v>
      </c>
      <c r="G34" s="80"/>
      <c r="H34" s="119"/>
      <c r="I34" s="119"/>
      <c r="J34" s="151"/>
      <c r="K34" s="151"/>
      <c r="L34" s="263"/>
      <c r="M34" s="151"/>
      <c r="N34" s="151"/>
      <c r="O34" s="151"/>
      <c r="P34" s="151"/>
      <c r="Q34" s="151"/>
      <c r="R34" s="263"/>
      <c r="S34" s="263"/>
      <c r="T34" s="151"/>
      <c r="U34" s="151"/>
      <c r="V34" s="264"/>
      <c r="W34" s="264"/>
      <c r="X34" s="151"/>
      <c r="Y34" s="151"/>
      <c r="Z34" s="151"/>
      <c r="AA34" s="263"/>
      <c r="AB34" s="151"/>
      <c r="AC34" s="151"/>
      <c r="AD34" s="151"/>
      <c r="AE34" s="151"/>
      <c r="AF34" s="151"/>
      <c r="AG34" s="158"/>
      <c r="AH34" s="259"/>
      <c r="AI34" s="60"/>
    </row>
    <row r="35">
      <c r="A35" s="60"/>
      <c r="B35" s="265">
        <v>12.0</v>
      </c>
      <c r="C35" s="266" t="s">
        <v>125</v>
      </c>
      <c r="D35" s="24"/>
      <c r="E35" s="253" t="s">
        <v>112</v>
      </c>
      <c r="F35" s="253">
        <f t="shared" si="1"/>
        <v>1</v>
      </c>
      <c r="G35" s="80"/>
      <c r="H35" s="119"/>
      <c r="I35" s="129">
        <v>1.0</v>
      </c>
      <c r="J35" s="151"/>
      <c r="K35" s="151"/>
      <c r="L35" s="263"/>
      <c r="M35" s="151"/>
      <c r="N35" s="151"/>
      <c r="O35" s="151"/>
      <c r="P35" s="151"/>
      <c r="Q35" s="151"/>
      <c r="R35" s="263"/>
      <c r="S35" s="263"/>
      <c r="T35" s="151"/>
      <c r="U35" s="151"/>
      <c r="V35" s="264"/>
      <c r="W35" s="264"/>
      <c r="X35" s="151"/>
      <c r="Y35" s="151"/>
      <c r="Z35" s="151"/>
      <c r="AA35" s="263"/>
      <c r="AB35" s="151"/>
      <c r="AC35" s="151"/>
      <c r="AD35" s="151"/>
      <c r="AE35" s="151"/>
      <c r="AF35" s="151"/>
      <c r="AG35" s="158"/>
      <c r="AH35" s="259"/>
      <c r="AI35" s="60"/>
    </row>
    <row r="36">
      <c r="A36" s="162"/>
      <c r="B36" s="260"/>
      <c r="C36" s="106"/>
      <c r="D36" s="118"/>
      <c r="E36" s="262" t="s">
        <v>114</v>
      </c>
      <c r="F36" s="262">
        <f t="shared" si="1"/>
        <v>1</v>
      </c>
      <c r="G36" s="80"/>
      <c r="H36" s="119"/>
      <c r="I36" s="119"/>
      <c r="J36" s="151"/>
      <c r="K36" s="151"/>
      <c r="L36" s="263"/>
      <c r="M36" s="151"/>
      <c r="N36" s="151"/>
      <c r="O36" s="151"/>
      <c r="P36" s="151"/>
      <c r="Q36" s="151"/>
      <c r="R36" s="263"/>
      <c r="S36" s="263"/>
      <c r="T36" s="151"/>
      <c r="U36" s="151"/>
      <c r="V36" s="264"/>
      <c r="W36" s="264"/>
      <c r="X36" s="151"/>
      <c r="Y36" s="151"/>
      <c r="Z36" s="133">
        <v>1.0</v>
      </c>
      <c r="AA36" s="263"/>
      <c r="AB36" s="270" t="s">
        <v>79</v>
      </c>
      <c r="AC36" s="270" t="s">
        <v>79</v>
      </c>
      <c r="AD36" s="270" t="s">
        <v>79</v>
      </c>
      <c r="AE36" s="151"/>
      <c r="AF36" s="151"/>
      <c r="AG36" s="158"/>
      <c r="AH36" s="259"/>
      <c r="AI36" s="60"/>
    </row>
    <row r="37">
      <c r="A37" s="60"/>
      <c r="B37" s="251">
        <v>13.0</v>
      </c>
      <c r="C37" s="252" t="s">
        <v>126</v>
      </c>
      <c r="D37" s="22"/>
      <c r="E37" s="253" t="s">
        <v>112</v>
      </c>
      <c r="F37" s="254">
        <f t="shared" si="1"/>
        <v>0</v>
      </c>
      <c r="G37" s="80"/>
      <c r="H37" s="119"/>
      <c r="I37" s="119"/>
      <c r="J37" s="151"/>
      <c r="K37" s="151"/>
      <c r="L37" s="263"/>
      <c r="M37" s="151"/>
      <c r="N37" s="151"/>
      <c r="O37" s="151"/>
      <c r="P37" s="151"/>
      <c r="Q37" s="151"/>
      <c r="R37" s="263"/>
      <c r="S37" s="263"/>
      <c r="T37" s="151"/>
      <c r="U37" s="151"/>
      <c r="V37" s="264"/>
      <c r="W37" s="264"/>
      <c r="X37" s="151"/>
      <c r="Y37" s="151"/>
      <c r="Z37" s="151"/>
      <c r="AA37" s="263"/>
      <c r="AB37" s="151"/>
      <c r="AC37" s="151"/>
      <c r="AD37" s="151"/>
      <c r="AE37" s="151"/>
      <c r="AF37" s="151"/>
      <c r="AG37" s="158"/>
      <c r="AH37" s="259"/>
      <c r="AI37" s="60"/>
    </row>
    <row r="38">
      <c r="A38" s="60"/>
      <c r="B38" s="260"/>
      <c r="C38" s="261"/>
      <c r="D38" s="118"/>
      <c r="E38" s="262" t="s">
        <v>114</v>
      </c>
      <c r="F38" s="254">
        <f t="shared" si="1"/>
        <v>0</v>
      </c>
      <c r="G38" s="80"/>
      <c r="H38" s="119"/>
      <c r="I38" s="119"/>
      <c r="J38" s="151"/>
      <c r="K38" s="151"/>
      <c r="L38" s="263"/>
      <c r="M38" s="151"/>
      <c r="N38" s="151"/>
      <c r="O38" s="151"/>
      <c r="P38" s="151"/>
      <c r="Q38" s="151"/>
      <c r="R38" s="263"/>
      <c r="S38" s="263"/>
      <c r="T38" s="151"/>
      <c r="U38" s="151"/>
      <c r="V38" s="264"/>
      <c r="W38" s="264"/>
      <c r="X38" s="151"/>
      <c r="Y38" s="151"/>
      <c r="Z38" s="151"/>
      <c r="AA38" s="263"/>
      <c r="AB38" s="151"/>
      <c r="AC38" s="151"/>
      <c r="AD38" s="151"/>
      <c r="AE38" s="151"/>
      <c r="AF38" s="151"/>
      <c r="AG38" s="158"/>
      <c r="AH38" s="259"/>
      <c r="AI38" s="60"/>
    </row>
    <row r="39">
      <c r="A39" s="60"/>
      <c r="B39" s="265">
        <v>14.0</v>
      </c>
      <c r="C39" s="266" t="s">
        <v>127</v>
      </c>
      <c r="D39" s="24"/>
      <c r="E39" s="253" t="s">
        <v>112</v>
      </c>
      <c r="F39" s="253">
        <f t="shared" si="1"/>
        <v>5</v>
      </c>
      <c r="G39" s="80"/>
      <c r="H39" s="119"/>
      <c r="I39" s="271"/>
      <c r="J39" s="151"/>
      <c r="K39" s="129">
        <v>1.0</v>
      </c>
      <c r="L39" s="263"/>
      <c r="M39" s="151"/>
      <c r="N39" s="151"/>
      <c r="O39" s="129">
        <v>1.0</v>
      </c>
      <c r="P39" s="151"/>
      <c r="Q39" s="151"/>
      <c r="R39" s="263"/>
      <c r="S39" s="263"/>
      <c r="T39" s="151"/>
      <c r="U39" s="151"/>
      <c r="V39" s="264"/>
      <c r="W39" s="264"/>
      <c r="X39" s="151"/>
      <c r="Y39" s="129">
        <v>1.0</v>
      </c>
      <c r="Z39" s="151"/>
      <c r="AA39" s="263"/>
      <c r="AB39" s="129">
        <v>1.0</v>
      </c>
      <c r="AC39" s="270" t="s">
        <v>79</v>
      </c>
      <c r="AD39" s="129">
        <v>1.0</v>
      </c>
      <c r="AE39" s="151"/>
      <c r="AF39" s="151"/>
      <c r="AG39" s="158"/>
      <c r="AH39" s="259"/>
      <c r="AI39" s="60"/>
    </row>
    <row r="40">
      <c r="A40" s="162"/>
      <c r="B40" s="260"/>
      <c r="C40" s="106"/>
      <c r="D40" s="118"/>
      <c r="E40" s="262" t="s">
        <v>114</v>
      </c>
      <c r="F40" s="267">
        <f t="shared" si="1"/>
        <v>0</v>
      </c>
      <c r="G40" s="80"/>
      <c r="H40" s="119"/>
      <c r="I40" s="119"/>
      <c r="J40" s="151"/>
      <c r="K40" s="151"/>
      <c r="L40" s="263"/>
      <c r="M40" s="151"/>
      <c r="N40" s="151"/>
      <c r="O40" s="151"/>
      <c r="P40" s="151"/>
      <c r="Q40" s="151"/>
      <c r="R40" s="263"/>
      <c r="S40" s="263"/>
      <c r="T40" s="151"/>
      <c r="U40" s="151"/>
      <c r="V40" s="264"/>
      <c r="W40" s="264"/>
      <c r="X40" s="151"/>
      <c r="Y40" s="151"/>
      <c r="Z40" s="151"/>
      <c r="AA40" s="263"/>
      <c r="AB40" s="151"/>
      <c r="AC40" s="151"/>
      <c r="AD40" s="151"/>
      <c r="AE40" s="151"/>
      <c r="AF40" s="151"/>
      <c r="AG40" s="158"/>
      <c r="AH40" s="259"/>
      <c r="AI40" s="60"/>
    </row>
    <row r="41">
      <c r="A41" s="60"/>
      <c r="B41" s="251">
        <v>15.0</v>
      </c>
      <c r="C41" s="252" t="s">
        <v>128</v>
      </c>
      <c r="D41" s="22"/>
      <c r="E41" s="253" t="s">
        <v>112</v>
      </c>
      <c r="F41" s="253">
        <f t="shared" si="1"/>
        <v>1</v>
      </c>
      <c r="G41" s="80"/>
      <c r="H41" s="119"/>
      <c r="I41" s="119"/>
      <c r="J41" s="151"/>
      <c r="K41" s="151"/>
      <c r="L41" s="263"/>
      <c r="M41" s="151"/>
      <c r="N41" s="151"/>
      <c r="O41" s="151"/>
      <c r="P41" s="151"/>
      <c r="Q41" s="151"/>
      <c r="R41" s="263"/>
      <c r="S41" s="263"/>
      <c r="T41" s="151"/>
      <c r="U41" s="151"/>
      <c r="V41" s="264"/>
      <c r="W41" s="264"/>
      <c r="X41" s="151"/>
      <c r="Y41" s="151"/>
      <c r="Z41" s="151"/>
      <c r="AA41" s="263"/>
      <c r="AB41" s="151"/>
      <c r="AC41" s="151"/>
      <c r="AD41" s="151"/>
      <c r="AE41" s="129">
        <v>1.0</v>
      </c>
      <c r="AF41" s="151"/>
      <c r="AG41" s="158"/>
      <c r="AH41" s="259"/>
      <c r="AI41" s="60"/>
    </row>
    <row r="42">
      <c r="A42" s="60"/>
      <c r="B42" s="260"/>
      <c r="C42" s="261"/>
      <c r="D42" s="118"/>
      <c r="E42" s="262" t="s">
        <v>114</v>
      </c>
      <c r="F42" s="254">
        <f t="shared" si="1"/>
        <v>0</v>
      </c>
      <c r="G42" s="80"/>
      <c r="H42" s="119"/>
      <c r="I42" s="119"/>
      <c r="J42" s="151"/>
      <c r="K42" s="151"/>
      <c r="L42" s="263"/>
      <c r="M42" s="151"/>
      <c r="N42" s="151"/>
      <c r="O42" s="151"/>
      <c r="P42" s="151"/>
      <c r="Q42" s="151"/>
      <c r="R42" s="263"/>
      <c r="S42" s="263"/>
      <c r="T42" s="151"/>
      <c r="U42" s="151"/>
      <c r="V42" s="264"/>
      <c r="W42" s="264"/>
      <c r="X42" s="151"/>
      <c r="Y42" s="151"/>
      <c r="Z42" s="151"/>
      <c r="AA42" s="263"/>
      <c r="AB42" s="151"/>
      <c r="AC42" s="151"/>
      <c r="AD42" s="151"/>
      <c r="AE42" s="151"/>
      <c r="AF42" s="151"/>
      <c r="AG42" s="158"/>
      <c r="AH42" s="259"/>
      <c r="AI42" s="60"/>
    </row>
    <row r="43">
      <c r="A43" s="60"/>
      <c r="B43" s="265">
        <v>16.0</v>
      </c>
      <c r="C43" s="266" t="s">
        <v>129</v>
      </c>
      <c r="D43" s="24"/>
      <c r="E43" s="253" t="s">
        <v>112</v>
      </c>
      <c r="F43" s="267">
        <f t="shared" si="1"/>
        <v>0</v>
      </c>
      <c r="G43" s="80"/>
      <c r="H43" s="151"/>
      <c r="I43" s="151"/>
      <c r="J43" s="151"/>
      <c r="K43" s="151"/>
      <c r="L43" s="263"/>
      <c r="M43" s="151"/>
      <c r="N43" s="151"/>
      <c r="O43" s="151"/>
      <c r="P43" s="151"/>
      <c r="Q43" s="151"/>
      <c r="R43" s="263"/>
      <c r="S43" s="263"/>
      <c r="T43" s="151"/>
      <c r="U43" s="151"/>
      <c r="V43" s="264"/>
      <c r="W43" s="151"/>
      <c r="X43" s="151"/>
      <c r="Y43" s="151"/>
      <c r="Z43" s="151"/>
      <c r="AA43" s="263"/>
      <c r="AB43" s="151"/>
      <c r="AC43" s="151"/>
      <c r="AD43" s="151"/>
      <c r="AE43" s="151"/>
      <c r="AF43" s="151"/>
      <c r="AG43" s="158"/>
      <c r="AH43" s="259"/>
      <c r="AI43" s="60"/>
    </row>
    <row r="44">
      <c r="A44" s="162"/>
      <c r="B44" s="260"/>
      <c r="C44" s="106"/>
      <c r="D44" s="118"/>
      <c r="E44" s="262" t="s">
        <v>114</v>
      </c>
      <c r="F44" s="267">
        <f t="shared" si="1"/>
        <v>0</v>
      </c>
      <c r="G44" s="80"/>
      <c r="H44" s="272"/>
      <c r="I44" s="272"/>
      <c r="J44" s="272"/>
      <c r="K44" s="272"/>
      <c r="L44" s="263"/>
      <c r="M44" s="272"/>
      <c r="N44" s="272"/>
      <c r="O44" s="272"/>
      <c r="P44" s="272"/>
      <c r="Q44" s="272"/>
      <c r="R44" s="263"/>
      <c r="S44" s="263"/>
      <c r="T44" s="272"/>
      <c r="U44" s="272"/>
      <c r="V44" s="273"/>
      <c r="W44" s="273"/>
      <c r="X44" s="272"/>
      <c r="Y44" s="272"/>
      <c r="Z44" s="272"/>
      <c r="AA44" s="263"/>
      <c r="AB44" s="272"/>
      <c r="AC44" s="151"/>
      <c r="AD44" s="151"/>
      <c r="AE44" s="151"/>
      <c r="AF44" s="151"/>
      <c r="AG44" s="158"/>
      <c r="AH44" s="274"/>
      <c r="AI44" s="60"/>
    </row>
    <row r="45">
      <c r="A45" s="60"/>
      <c r="B45" s="251">
        <v>17.0</v>
      </c>
      <c r="C45" s="252" t="s">
        <v>130</v>
      </c>
      <c r="D45" s="22"/>
      <c r="E45" s="253" t="s">
        <v>112</v>
      </c>
      <c r="F45" s="253">
        <f t="shared" si="1"/>
        <v>4</v>
      </c>
      <c r="G45" s="80"/>
      <c r="H45" s="275"/>
      <c r="I45" s="129">
        <v>1.0</v>
      </c>
      <c r="J45" s="276"/>
      <c r="K45" s="276"/>
      <c r="L45" s="263"/>
      <c r="M45" s="151"/>
      <c r="N45" s="151"/>
      <c r="O45" s="151"/>
      <c r="P45" s="151"/>
      <c r="Q45" s="151"/>
      <c r="R45" s="263"/>
      <c r="S45" s="263"/>
      <c r="T45" s="151"/>
      <c r="U45" s="151"/>
      <c r="V45" s="129">
        <v>1.0</v>
      </c>
      <c r="W45" s="264"/>
      <c r="X45" s="151"/>
      <c r="Y45" s="151"/>
      <c r="Z45" s="151"/>
      <c r="AA45" s="263"/>
      <c r="AB45" s="129">
        <v>1.0</v>
      </c>
      <c r="AC45" s="151"/>
      <c r="AD45" s="151"/>
      <c r="AE45" s="151"/>
      <c r="AF45" s="151"/>
      <c r="AG45" s="129">
        <v>1.0</v>
      </c>
      <c r="AH45" s="259"/>
      <c r="AI45" s="60"/>
    </row>
    <row r="46">
      <c r="A46" s="60"/>
      <c r="B46" s="260"/>
      <c r="C46" s="261"/>
      <c r="D46" s="118"/>
      <c r="E46" s="262" t="s">
        <v>114</v>
      </c>
      <c r="F46" s="254">
        <f t="shared" si="1"/>
        <v>0</v>
      </c>
      <c r="G46" s="80"/>
      <c r="H46" s="277"/>
      <c r="I46" s="277"/>
      <c r="J46" s="272"/>
      <c r="K46" s="272"/>
      <c r="L46" s="263"/>
      <c r="M46" s="272"/>
      <c r="N46" s="151"/>
      <c r="O46" s="151"/>
      <c r="P46" s="272"/>
      <c r="Q46" s="272"/>
      <c r="R46" s="263"/>
      <c r="S46" s="263"/>
      <c r="T46" s="272"/>
      <c r="U46" s="272"/>
      <c r="V46" s="264"/>
      <c r="W46" s="264"/>
      <c r="X46" s="151"/>
      <c r="Y46" s="151"/>
      <c r="Z46" s="151"/>
      <c r="AA46" s="263"/>
      <c r="AB46" s="272"/>
      <c r="AC46" s="151"/>
      <c r="AD46" s="151"/>
      <c r="AE46" s="151"/>
      <c r="AF46" s="151"/>
      <c r="AG46" s="158"/>
      <c r="AH46" s="274"/>
      <c r="AI46" s="60"/>
    </row>
    <row r="47">
      <c r="A47" s="60"/>
      <c r="B47" s="265">
        <v>18.0</v>
      </c>
      <c r="C47" s="266" t="s">
        <v>131</v>
      </c>
      <c r="D47" s="24"/>
      <c r="E47" s="253" t="s">
        <v>112</v>
      </c>
      <c r="F47" s="267">
        <f t="shared" si="1"/>
        <v>0</v>
      </c>
      <c r="G47" s="80"/>
      <c r="H47" s="151"/>
      <c r="I47" s="151"/>
      <c r="J47" s="151"/>
      <c r="K47" s="151"/>
      <c r="L47" s="263"/>
      <c r="M47" s="151"/>
      <c r="N47" s="151"/>
      <c r="O47" s="151"/>
      <c r="P47" s="151"/>
      <c r="Q47" s="151"/>
      <c r="R47" s="263"/>
      <c r="S47" s="263"/>
      <c r="T47" s="259"/>
      <c r="U47" s="151"/>
      <c r="V47" s="151"/>
      <c r="W47" s="151"/>
      <c r="X47" s="151"/>
      <c r="Y47" s="151"/>
      <c r="Z47" s="151"/>
      <c r="AA47" s="263"/>
      <c r="AB47" s="151"/>
      <c r="AC47" s="151"/>
      <c r="AD47" s="151"/>
      <c r="AE47" s="151"/>
      <c r="AF47" s="151"/>
      <c r="AG47" s="151"/>
      <c r="AH47" s="259"/>
      <c r="AI47" s="60"/>
    </row>
    <row r="48">
      <c r="A48" s="162"/>
      <c r="B48" s="260"/>
      <c r="C48" s="106"/>
      <c r="D48" s="118"/>
      <c r="E48" s="262" t="s">
        <v>114</v>
      </c>
      <c r="F48" s="267">
        <f t="shared" si="1"/>
        <v>0</v>
      </c>
      <c r="G48" s="80"/>
      <c r="H48" s="151"/>
      <c r="I48" s="151"/>
      <c r="J48" s="151"/>
      <c r="K48" s="151"/>
      <c r="L48" s="263"/>
      <c r="M48" s="151"/>
      <c r="N48" s="151"/>
      <c r="O48" s="151"/>
      <c r="P48" s="151"/>
      <c r="Q48" s="151"/>
      <c r="R48" s="263"/>
      <c r="S48" s="263"/>
      <c r="T48" s="259"/>
      <c r="U48" s="151"/>
      <c r="V48" s="151"/>
      <c r="W48" s="151"/>
      <c r="X48" s="151"/>
      <c r="Y48" s="151"/>
      <c r="Z48" s="151"/>
      <c r="AA48" s="263"/>
      <c r="AB48" s="151"/>
      <c r="AC48" s="151"/>
      <c r="AD48" s="151"/>
      <c r="AE48" s="151"/>
      <c r="AF48" s="151"/>
      <c r="AG48" s="151"/>
      <c r="AH48" s="259"/>
      <c r="AI48" s="60"/>
    </row>
    <row r="49">
      <c r="A49" s="60"/>
      <c r="B49" s="251">
        <v>19.0</v>
      </c>
      <c r="C49" s="252" t="s">
        <v>132</v>
      </c>
      <c r="D49" s="22"/>
      <c r="E49" s="253" t="s">
        <v>112</v>
      </c>
      <c r="F49" s="254">
        <f t="shared" si="1"/>
        <v>0</v>
      </c>
      <c r="G49" s="80"/>
      <c r="H49" s="151"/>
      <c r="I49" s="151"/>
      <c r="J49" s="151"/>
      <c r="K49" s="151"/>
      <c r="L49" s="263"/>
      <c r="M49" s="151"/>
      <c r="N49" s="151"/>
      <c r="O49" s="151"/>
      <c r="P49" s="151"/>
      <c r="Q49" s="151"/>
      <c r="R49" s="263"/>
      <c r="S49" s="263"/>
      <c r="T49" s="259"/>
      <c r="U49" s="151"/>
      <c r="V49" s="151"/>
      <c r="W49" s="151"/>
      <c r="X49" s="151"/>
      <c r="Y49" s="151"/>
      <c r="Z49" s="151"/>
      <c r="AA49" s="263"/>
      <c r="AB49" s="151"/>
      <c r="AC49" s="151"/>
      <c r="AD49" s="151"/>
      <c r="AE49" s="151"/>
      <c r="AF49" s="151"/>
      <c r="AG49" s="151"/>
      <c r="AH49" s="259"/>
      <c r="AI49" s="60"/>
    </row>
    <row r="50">
      <c r="A50" s="60"/>
      <c r="B50" s="260"/>
      <c r="C50" s="261"/>
      <c r="D50" s="118"/>
      <c r="E50" s="262" t="s">
        <v>114</v>
      </c>
      <c r="F50" s="254">
        <f t="shared" si="1"/>
        <v>0</v>
      </c>
      <c r="G50" s="80"/>
      <c r="H50" s="151"/>
      <c r="I50" s="151"/>
      <c r="J50" s="151"/>
      <c r="K50" s="151"/>
      <c r="L50" s="263"/>
      <c r="M50" s="151"/>
      <c r="N50" s="151"/>
      <c r="O50" s="151"/>
      <c r="P50" s="151"/>
      <c r="Q50" s="151"/>
      <c r="R50" s="263"/>
      <c r="S50" s="263"/>
      <c r="T50" s="259"/>
      <c r="U50" s="151"/>
      <c r="V50" s="151"/>
      <c r="W50" s="151"/>
      <c r="X50" s="151"/>
      <c r="Y50" s="151"/>
      <c r="Z50" s="151"/>
      <c r="AA50" s="263"/>
      <c r="AB50" s="151"/>
      <c r="AC50" s="151"/>
      <c r="AD50" s="151"/>
      <c r="AE50" s="151"/>
      <c r="AF50" s="151"/>
      <c r="AG50" s="151"/>
      <c r="AH50" s="259"/>
      <c r="AI50" s="60"/>
    </row>
    <row r="51">
      <c r="A51" s="60"/>
      <c r="B51" s="265">
        <v>20.0</v>
      </c>
      <c r="C51" s="266" t="s">
        <v>133</v>
      </c>
      <c r="D51" s="24"/>
      <c r="E51" s="253" t="s">
        <v>112</v>
      </c>
      <c r="F51" s="267">
        <f t="shared" si="1"/>
        <v>0</v>
      </c>
      <c r="G51" s="80"/>
      <c r="H51" s="151"/>
      <c r="I51" s="151"/>
      <c r="J51" s="151"/>
      <c r="K51" s="151"/>
      <c r="L51" s="263"/>
      <c r="M51" s="151"/>
      <c r="N51" s="151"/>
      <c r="O51" s="151"/>
      <c r="P51" s="151"/>
      <c r="Q51" s="151"/>
      <c r="R51" s="263"/>
      <c r="S51" s="263"/>
      <c r="T51" s="259"/>
      <c r="U51" s="151"/>
      <c r="V51" s="151"/>
      <c r="W51" s="151"/>
      <c r="X51" s="151"/>
      <c r="Y51" s="151"/>
      <c r="Z51" s="151"/>
      <c r="AA51" s="263"/>
      <c r="AB51" s="151"/>
      <c r="AC51" s="151"/>
      <c r="AD51" s="151"/>
      <c r="AE51" s="151"/>
      <c r="AF51" s="151"/>
      <c r="AG51" s="151"/>
      <c r="AH51" s="259"/>
      <c r="AI51" s="60"/>
    </row>
    <row r="52">
      <c r="A52" s="162"/>
      <c r="B52" s="260"/>
      <c r="C52" s="106"/>
      <c r="D52" s="118"/>
      <c r="E52" s="262" t="s">
        <v>114</v>
      </c>
      <c r="F52" s="267">
        <f t="shared" si="1"/>
        <v>0</v>
      </c>
      <c r="G52" s="80"/>
      <c r="H52" s="151"/>
      <c r="I52" s="275"/>
      <c r="J52" s="151"/>
      <c r="K52" s="151"/>
      <c r="L52" s="263"/>
      <c r="M52" s="151"/>
      <c r="N52" s="151"/>
      <c r="O52" s="151"/>
      <c r="P52" s="151"/>
      <c r="Q52" s="151"/>
      <c r="R52" s="263"/>
      <c r="S52" s="263"/>
      <c r="T52" s="259"/>
      <c r="U52" s="151"/>
      <c r="V52" s="151"/>
      <c r="W52" s="151"/>
      <c r="X52" s="151"/>
      <c r="Y52" s="151"/>
      <c r="Z52" s="151"/>
      <c r="AA52" s="263"/>
      <c r="AB52" s="151"/>
      <c r="AC52" s="151"/>
      <c r="AD52" s="151"/>
      <c r="AE52" s="151"/>
      <c r="AF52" s="151"/>
      <c r="AG52" s="151"/>
      <c r="AH52" s="259"/>
      <c r="AI52" s="60"/>
    </row>
    <row r="53">
      <c r="A53" s="60"/>
      <c r="B53" s="251">
        <v>21.0</v>
      </c>
      <c r="C53" s="252" t="s">
        <v>134</v>
      </c>
      <c r="D53" s="22"/>
      <c r="E53" s="253" t="s">
        <v>112</v>
      </c>
      <c r="F53" s="268">
        <f t="shared" si="1"/>
        <v>0</v>
      </c>
      <c r="G53" s="80"/>
      <c r="H53" s="151"/>
      <c r="I53" s="275"/>
      <c r="J53" s="151"/>
      <c r="K53" s="151"/>
      <c r="L53" s="263"/>
      <c r="M53" s="151"/>
      <c r="N53" s="151"/>
      <c r="O53" s="151"/>
      <c r="P53" s="151"/>
      <c r="Q53" s="151"/>
      <c r="R53" s="263"/>
      <c r="S53" s="263"/>
      <c r="T53" s="259"/>
      <c r="U53" s="151"/>
      <c r="V53" s="151"/>
      <c r="W53" s="151"/>
      <c r="X53" s="151"/>
      <c r="Y53" s="151"/>
      <c r="Z53" s="151"/>
      <c r="AA53" s="263"/>
      <c r="AB53" s="151"/>
      <c r="AC53" s="151"/>
      <c r="AD53" s="151"/>
      <c r="AE53" s="151"/>
      <c r="AF53" s="151"/>
      <c r="AG53" s="151"/>
      <c r="AH53" s="259"/>
      <c r="AI53" s="60"/>
    </row>
    <row r="54">
      <c r="A54" s="60"/>
      <c r="B54" s="260"/>
      <c r="C54" s="261"/>
      <c r="D54" s="118"/>
      <c r="E54" s="262" t="s">
        <v>114</v>
      </c>
      <c r="F54" s="268">
        <f t="shared" si="1"/>
        <v>0</v>
      </c>
      <c r="G54" s="80"/>
      <c r="H54" s="151"/>
      <c r="I54" s="151"/>
      <c r="J54" s="151"/>
      <c r="K54" s="151"/>
      <c r="L54" s="263"/>
      <c r="M54" s="151"/>
      <c r="N54" s="151"/>
      <c r="O54" s="151"/>
      <c r="P54" s="151"/>
      <c r="Q54" s="151"/>
      <c r="R54" s="263"/>
      <c r="S54" s="263"/>
      <c r="T54" s="259"/>
      <c r="U54" s="151"/>
      <c r="V54" s="151"/>
      <c r="W54" s="151"/>
      <c r="X54" s="151"/>
      <c r="Y54" s="151"/>
      <c r="Z54" s="151"/>
      <c r="AA54" s="263"/>
      <c r="AB54" s="151"/>
      <c r="AC54" s="151"/>
      <c r="AD54" s="151"/>
      <c r="AE54" s="151"/>
      <c r="AF54" s="151"/>
      <c r="AG54" s="151"/>
      <c r="AH54" s="259"/>
      <c r="AI54" s="60"/>
    </row>
    <row r="55">
      <c r="A55" s="60"/>
      <c r="B55" s="265">
        <v>22.0</v>
      </c>
      <c r="C55" s="266" t="s">
        <v>135</v>
      </c>
      <c r="D55" s="24"/>
      <c r="E55" s="253" t="s">
        <v>112</v>
      </c>
      <c r="F55" s="253">
        <f t="shared" si="1"/>
        <v>4</v>
      </c>
      <c r="G55" s="80"/>
      <c r="H55" s="151"/>
      <c r="I55" s="151"/>
      <c r="J55" s="151"/>
      <c r="K55" s="151"/>
      <c r="L55" s="263"/>
      <c r="M55" s="151"/>
      <c r="N55" s="151"/>
      <c r="O55" s="151"/>
      <c r="P55" s="151"/>
      <c r="Q55" s="151"/>
      <c r="R55" s="263"/>
      <c r="S55" s="263"/>
      <c r="T55" s="259"/>
      <c r="U55" s="151"/>
      <c r="V55" s="129">
        <v>1.0</v>
      </c>
      <c r="W55" s="151"/>
      <c r="X55" s="151"/>
      <c r="Y55" s="151"/>
      <c r="Z55" s="151"/>
      <c r="AA55" s="263"/>
      <c r="AB55" s="129">
        <v>1.0</v>
      </c>
      <c r="AC55" s="151"/>
      <c r="AD55" s="129">
        <v>1.0</v>
      </c>
      <c r="AE55" s="151"/>
      <c r="AF55" s="151"/>
      <c r="AG55" s="129">
        <v>1.0</v>
      </c>
      <c r="AH55" s="259"/>
      <c r="AI55" s="60"/>
    </row>
    <row r="56">
      <c r="A56" s="162"/>
      <c r="B56" s="260"/>
      <c r="C56" s="106"/>
      <c r="D56" s="118"/>
      <c r="E56" s="262" t="s">
        <v>114</v>
      </c>
      <c r="F56" s="267">
        <f t="shared" si="1"/>
        <v>0</v>
      </c>
      <c r="G56" s="80"/>
      <c r="H56" s="151"/>
      <c r="I56" s="151"/>
      <c r="J56" s="151"/>
      <c r="K56" s="151"/>
      <c r="L56" s="263"/>
      <c r="M56" s="151"/>
      <c r="N56" s="151"/>
      <c r="O56" s="151"/>
      <c r="P56" s="151"/>
      <c r="Q56" s="151"/>
      <c r="R56" s="263"/>
      <c r="S56" s="263"/>
      <c r="T56" s="259"/>
      <c r="U56" s="151"/>
      <c r="V56" s="151"/>
      <c r="W56" s="151"/>
      <c r="X56" s="151"/>
      <c r="Y56" s="151"/>
      <c r="Z56" s="151"/>
      <c r="AA56" s="263"/>
      <c r="AB56" s="151"/>
      <c r="AC56" s="151"/>
      <c r="AD56" s="151"/>
      <c r="AE56" s="151"/>
      <c r="AF56" s="151"/>
      <c r="AG56" s="151"/>
      <c r="AH56" s="259"/>
      <c r="AI56" s="60"/>
    </row>
    <row r="57">
      <c r="A57" s="60"/>
      <c r="B57" s="251">
        <v>23.0</v>
      </c>
      <c r="C57" s="252" t="s">
        <v>136</v>
      </c>
      <c r="D57" s="22"/>
      <c r="E57" s="253" t="s">
        <v>112</v>
      </c>
      <c r="F57" s="254">
        <f t="shared" si="1"/>
        <v>0</v>
      </c>
      <c r="G57" s="80"/>
      <c r="H57" s="151"/>
      <c r="I57" s="151"/>
      <c r="J57" s="151"/>
      <c r="K57" s="151"/>
      <c r="L57" s="263"/>
      <c r="M57" s="151"/>
      <c r="N57" s="151"/>
      <c r="O57" s="151"/>
      <c r="P57" s="151"/>
      <c r="Q57" s="151"/>
      <c r="R57" s="263"/>
      <c r="S57" s="263"/>
      <c r="T57" s="259"/>
      <c r="U57" s="151"/>
      <c r="V57" s="151"/>
      <c r="W57" s="151"/>
      <c r="X57" s="151"/>
      <c r="Y57" s="151"/>
      <c r="Z57" s="151"/>
      <c r="AA57" s="263"/>
      <c r="AB57" s="151"/>
      <c r="AC57" s="151"/>
      <c r="AD57" s="151"/>
      <c r="AE57" s="151"/>
      <c r="AF57" s="151"/>
      <c r="AG57" s="151"/>
      <c r="AH57" s="259"/>
      <c r="AI57" s="60"/>
    </row>
    <row r="58">
      <c r="A58" s="60"/>
      <c r="B58" s="260"/>
      <c r="C58" s="261"/>
      <c r="D58" s="118"/>
      <c r="E58" s="262" t="s">
        <v>114</v>
      </c>
      <c r="F58" s="254">
        <f t="shared" si="1"/>
        <v>0</v>
      </c>
      <c r="G58" s="80"/>
      <c r="H58" s="151"/>
      <c r="I58" s="151"/>
      <c r="J58" s="151"/>
      <c r="K58" s="151"/>
      <c r="L58" s="263"/>
      <c r="M58" s="151"/>
      <c r="N58" s="151"/>
      <c r="O58" s="151"/>
      <c r="P58" s="151"/>
      <c r="Q58" s="151"/>
      <c r="R58" s="263"/>
      <c r="S58" s="263"/>
      <c r="T58" s="259"/>
      <c r="U58" s="151"/>
      <c r="V58" s="151"/>
      <c r="W58" s="151"/>
      <c r="X58" s="151"/>
      <c r="Y58" s="151"/>
      <c r="Z58" s="151"/>
      <c r="AA58" s="263"/>
      <c r="AB58" s="151"/>
      <c r="AC58" s="151"/>
      <c r="AD58" s="151"/>
      <c r="AE58" s="151"/>
      <c r="AF58" s="151"/>
      <c r="AG58" s="151"/>
      <c r="AH58" s="259"/>
      <c r="AI58" s="60"/>
    </row>
    <row r="59">
      <c r="A59" s="60"/>
      <c r="B59" s="265">
        <v>24.0</v>
      </c>
      <c r="C59" s="266" t="s">
        <v>137</v>
      </c>
      <c r="D59" s="24"/>
      <c r="E59" s="253" t="s">
        <v>112</v>
      </c>
      <c r="F59" s="253">
        <f t="shared" si="1"/>
        <v>2</v>
      </c>
      <c r="G59" s="80"/>
      <c r="H59" s="151"/>
      <c r="I59" s="151"/>
      <c r="J59" s="151"/>
      <c r="K59" s="151"/>
      <c r="L59" s="263"/>
      <c r="M59" s="129">
        <v>1.0</v>
      </c>
      <c r="N59" s="151"/>
      <c r="O59" s="151"/>
      <c r="P59" s="151"/>
      <c r="Q59" s="151"/>
      <c r="R59" s="263"/>
      <c r="S59" s="263"/>
      <c r="T59" s="259"/>
      <c r="U59" s="151"/>
      <c r="V59" s="151"/>
      <c r="W59" s="151"/>
      <c r="X59" s="151"/>
      <c r="Y59" s="151"/>
      <c r="Z59" s="151"/>
      <c r="AA59" s="263"/>
      <c r="AB59" s="151"/>
      <c r="AC59" s="151"/>
      <c r="AD59" s="151"/>
      <c r="AE59" s="129">
        <v>1.0</v>
      </c>
      <c r="AF59" s="151"/>
      <c r="AG59" s="151"/>
      <c r="AH59" s="259"/>
      <c r="AI59" s="60"/>
    </row>
    <row r="60">
      <c r="A60" s="162"/>
      <c r="B60" s="260"/>
      <c r="C60" s="106"/>
      <c r="D60" s="118"/>
      <c r="E60" s="262" t="s">
        <v>114</v>
      </c>
      <c r="F60" s="267">
        <f t="shared" si="1"/>
        <v>0</v>
      </c>
      <c r="G60" s="80"/>
      <c r="H60" s="151"/>
      <c r="I60" s="151"/>
      <c r="J60" s="151"/>
      <c r="K60" s="151"/>
      <c r="L60" s="263"/>
      <c r="M60" s="151"/>
      <c r="N60" s="151"/>
      <c r="O60" s="151"/>
      <c r="P60" s="151"/>
      <c r="Q60" s="151"/>
      <c r="R60" s="263"/>
      <c r="S60" s="263"/>
      <c r="T60" s="259"/>
      <c r="U60" s="151"/>
      <c r="V60" s="151"/>
      <c r="W60" s="151"/>
      <c r="X60" s="151"/>
      <c r="Y60" s="151"/>
      <c r="Z60" s="151"/>
      <c r="AA60" s="263"/>
      <c r="AB60" s="151"/>
      <c r="AC60" s="151"/>
      <c r="AD60" s="151"/>
      <c r="AE60" s="151"/>
      <c r="AF60" s="151"/>
      <c r="AG60" s="151"/>
      <c r="AH60" s="259"/>
      <c r="AI60" s="60"/>
    </row>
    <row r="61">
      <c r="A61" s="60"/>
      <c r="B61" s="265">
        <v>26.0</v>
      </c>
      <c r="C61" s="278" t="s">
        <v>138</v>
      </c>
      <c r="D61" s="24"/>
      <c r="E61" s="253" t="s">
        <v>112</v>
      </c>
      <c r="F61" s="253">
        <f t="shared" si="1"/>
        <v>2</v>
      </c>
      <c r="G61" s="80"/>
      <c r="H61" s="151"/>
      <c r="I61" s="151"/>
      <c r="J61" s="151"/>
      <c r="K61" s="151"/>
      <c r="L61" s="263"/>
      <c r="M61" s="151"/>
      <c r="N61" s="151"/>
      <c r="O61" s="151"/>
      <c r="P61" s="151"/>
      <c r="Q61" s="151"/>
      <c r="R61" s="263"/>
      <c r="S61" s="263"/>
      <c r="T61" s="259"/>
      <c r="U61" s="151"/>
      <c r="V61" s="151"/>
      <c r="W61" s="129">
        <v>1.0</v>
      </c>
      <c r="X61" s="151"/>
      <c r="Y61" s="151"/>
      <c r="Z61" s="151"/>
      <c r="AA61" s="263"/>
      <c r="AB61" s="151"/>
      <c r="AC61" s="151"/>
      <c r="AD61" s="151"/>
      <c r="AE61" s="129">
        <v>1.0</v>
      </c>
      <c r="AF61" s="151"/>
      <c r="AG61" s="151"/>
      <c r="AH61" s="259"/>
      <c r="AI61" s="60"/>
    </row>
    <row r="62">
      <c r="A62" s="60"/>
      <c r="B62" s="260"/>
      <c r="C62" s="106"/>
      <c r="D62" s="118"/>
      <c r="E62" s="262" t="s">
        <v>114</v>
      </c>
      <c r="F62" s="267">
        <v>0.0</v>
      </c>
      <c r="G62" s="80"/>
      <c r="H62" s="151"/>
      <c r="I62" s="151"/>
      <c r="J62" s="151"/>
      <c r="K62" s="151"/>
      <c r="L62" s="263"/>
      <c r="M62" s="151"/>
      <c r="N62" s="151"/>
      <c r="O62" s="151"/>
      <c r="P62" s="151"/>
      <c r="Q62" s="151"/>
      <c r="R62" s="263"/>
      <c r="S62" s="263"/>
      <c r="T62" s="259"/>
      <c r="U62" s="151"/>
      <c r="V62" s="151"/>
      <c r="W62" s="151"/>
      <c r="X62" s="151"/>
      <c r="Y62" s="151"/>
      <c r="Z62" s="151"/>
      <c r="AA62" s="263"/>
      <c r="AB62" s="151"/>
      <c r="AC62" s="151"/>
      <c r="AD62" s="151"/>
      <c r="AE62" s="151"/>
      <c r="AF62" s="151"/>
      <c r="AG62" s="151"/>
      <c r="AH62" s="259"/>
      <c r="AI62" s="60"/>
    </row>
    <row r="63">
      <c r="A63" s="60"/>
      <c r="B63" s="265">
        <v>27.0</v>
      </c>
      <c r="C63" s="279" t="s">
        <v>139</v>
      </c>
      <c r="D63" s="24"/>
      <c r="E63" s="253" t="s">
        <v>112</v>
      </c>
      <c r="F63" s="267">
        <v>0.0</v>
      </c>
      <c r="G63" s="80"/>
      <c r="H63" s="151"/>
      <c r="I63" s="151"/>
      <c r="J63" s="151"/>
      <c r="K63" s="151"/>
      <c r="L63" s="263"/>
      <c r="M63" s="151"/>
      <c r="N63" s="151"/>
      <c r="O63" s="151"/>
      <c r="P63" s="151"/>
      <c r="Q63" s="151"/>
      <c r="R63" s="263"/>
      <c r="S63" s="263"/>
      <c r="T63" s="259"/>
      <c r="U63" s="151"/>
      <c r="V63" s="151"/>
      <c r="W63" s="151"/>
      <c r="X63" s="151"/>
      <c r="Y63" s="151"/>
      <c r="Z63" s="151"/>
      <c r="AA63" s="263"/>
      <c r="AB63" s="151"/>
      <c r="AC63" s="151"/>
      <c r="AD63" s="151"/>
      <c r="AE63" s="151"/>
      <c r="AF63" s="151"/>
      <c r="AG63" s="151"/>
      <c r="AH63" s="259"/>
      <c r="AI63" s="60"/>
    </row>
    <row r="64">
      <c r="A64" s="162"/>
      <c r="B64" s="260"/>
      <c r="C64" s="106"/>
      <c r="D64" s="118"/>
      <c r="E64" s="262" t="s">
        <v>114</v>
      </c>
      <c r="F64" s="267">
        <v>0.0</v>
      </c>
      <c r="G64" s="80"/>
      <c r="H64" s="151"/>
      <c r="I64" s="151"/>
      <c r="J64" s="151"/>
      <c r="K64" s="151"/>
      <c r="L64" s="263"/>
      <c r="M64" s="151"/>
      <c r="N64" s="151"/>
      <c r="O64" s="151"/>
      <c r="P64" s="151"/>
      <c r="Q64" s="151"/>
      <c r="R64" s="263"/>
      <c r="S64" s="263"/>
      <c r="T64" s="259"/>
      <c r="U64" s="151"/>
      <c r="V64" s="151"/>
      <c r="W64" s="151"/>
      <c r="X64" s="151"/>
      <c r="Y64" s="151"/>
      <c r="Z64" s="151"/>
      <c r="AA64" s="263"/>
      <c r="AB64" s="151"/>
      <c r="AC64" s="151"/>
      <c r="AD64" s="151"/>
      <c r="AE64" s="151"/>
      <c r="AF64" s="151"/>
      <c r="AG64" s="151"/>
      <c r="AH64" s="259"/>
      <c r="AI64" s="60"/>
    </row>
    <row r="65">
      <c r="A65" s="60"/>
      <c r="B65" s="265">
        <v>28.0</v>
      </c>
      <c r="C65" s="279" t="s">
        <v>140</v>
      </c>
      <c r="D65" s="24"/>
      <c r="E65" s="253" t="s">
        <v>112</v>
      </c>
      <c r="F65" s="253">
        <v>1.0</v>
      </c>
      <c r="G65" s="80"/>
      <c r="H65" s="151"/>
      <c r="I65" s="151"/>
      <c r="J65" s="151"/>
      <c r="K65" s="151"/>
      <c r="L65" s="263"/>
      <c r="M65" s="151"/>
      <c r="N65" s="151"/>
      <c r="O65" s="151"/>
      <c r="P65" s="151"/>
      <c r="Q65" s="151"/>
      <c r="R65" s="263"/>
      <c r="S65" s="263"/>
      <c r="T65" s="259"/>
      <c r="U65" s="151"/>
      <c r="V65" s="151"/>
      <c r="W65" s="151"/>
      <c r="X65" s="151"/>
      <c r="Y65" s="151"/>
      <c r="Z65" s="151"/>
      <c r="AA65" s="263"/>
      <c r="AB65" s="151"/>
      <c r="AC65" s="151"/>
      <c r="AD65" s="129">
        <v>1.0</v>
      </c>
      <c r="AE65" s="151"/>
      <c r="AF65" s="151"/>
      <c r="AG65" s="151"/>
      <c r="AH65" s="259"/>
      <c r="AI65" s="60"/>
    </row>
    <row r="66">
      <c r="A66" s="60"/>
      <c r="B66" s="260"/>
      <c r="C66" s="106"/>
      <c r="D66" s="118"/>
      <c r="E66" s="262" t="s">
        <v>114</v>
      </c>
      <c r="F66" s="267">
        <v>0.0</v>
      </c>
      <c r="G66" s="80"/>
      <c r="H66" s="151"/>
      <c r="I66" s="151"/>
      <c r="J66" s="151"/>
      <c r="K66" s="151"/>
      <c r="L66" s="263"/>
      <c r="M66" s="151"/>
      <c r="N66" s="151"/>
      <c r="O66" s="151"/>
      <c r="P66" s="151"/>
      <c r="Q66" s="151"/>
      <c r="R66" s="263"/>
      <c r="S66" s="263"/>
      <c r="T66" s="259"/>
      <c r="U66" s="151"/>
      <c r="V66" s="151"/>
      <c r="W66" s="151"/>
      <c r="X66" s="151"/>
      <c r="Y66" s="151"/>
      <c r="Z66" s="151"/>
      <c r="AA66" s="263"/>
      <c r="AB66" s="151"/>
      <c r="AC66" s="151"/>
      <c r="AD66" s="151"/>
      <c r="AE66" s="151"/>
      <c r="AF66" s="151"/>
      <c r="AG66" s="151"/>
      <c r="AH66" s="259"/>
      <c r="AI66" s="60"/>
    </row>
    <row r="67">
      <c r="A67" s="60"/>
      <c r="B67" s="265">
        <v>29.0</v>
      </c>
      <c r="C67" s="279" t="s">
        <v>141</v>
      </c>
      <c r="D67" s="24"/>
      <c r="E67" s="253" t="s">
        <v>112</v>
      </c>
      <c r="F67" s="267">
        <v>0.0</v>
      </c>
      <c r="G67" s="80"/>
      <c r="H67" s="151"/>
      <c r="I67" s="151"/>
      <c r="J67" s="151"/>
      <c r="K67" s="151"/>
      <c r="L67" s="263"/>
      <c r="M67" s="151"/>
      <c r="N67" s="151"/>
      <c r="O67" s="151"/>
      <c r="P67" s="151"/>
      <c r="Q67" s="151"/>
      <c r="R67" s="263"/>
      <c r="S67" s="263"/>
      <c r="T67" s="259"/>
      <c r="U67" s="151"/>
      <c r="V67" s="151"/>
      <c r="W67" s="151"/>
      <c r="X67" s="151"/>
      <c r="Y67" s="151"/>
      <c r="Z67" s="151"/>
      <c r="AA67" s="263"/>
      <c r="AB67" s="151"/>
      <c r="AC67" s="151"/>
      <c r="AD67" s="151"/>
      <c r="AE67" s="151"/>
      <c r="AF67" s="151"/>
      <c r="AG67" s="151"/>
      <c r="AH67" s="259"/>
      <c r="AI67" s="60"/>
    </row>
    <row r="68">
      <c r="A68" s="162"/>
      <c r="B68" s="260"/>
      <c r="C68" s="106"/>
      <c r="D68" s="118"/>
      <c r="E68" s="262" t="s">
        <v>114</v>
      </c>
      <c r="F68" s="267">
        <v>0.0</v>
      </c>
      <c r="G68" s="80"/>
      <c r="H68" s="151"/>
      <c r="I68" s="151"/>
      <c r="J68" s="151"/>
      <c r="K68" s="151"/>
      <c r="L68" s="263"/>
      <c r="M68" s="151"/>
      <c r="N68" s="151"/>
      <c r="O68" s="151"/>
      <c r="P68" s="151"/>
      <c r="Q68" s="151"/>
      <c r="R68" s="263"/>
      <c r="S68" s="263"/>
      <c r="T68" s="259"/>
      <c r="U68" s="151"/>
      <c r="V68" s="151"/>
      <c r="W68" s="151"/>
      <c r="X68" s="151"/>
      <c r="Y68" s="151"/>
      <c r="Z68" s="151"/>
      <c r="AA68" s="263"/>
      <c r="AB68" s="151"/>
      <c r="AC68" s="151"/>
      <c r="AD68" s="151"/>
      <c r="AE68" s="151"/>
      <c r="AF68" s="151"/>
      <c r="AG68" s="151"/>
      <c r="AH68" s="259"/>
      <c r="AI68" s="60"/>
    </row>
    <row r="69">
      <c r="A69" s="60"/>
      <c r="B69" s="265">
        <v>30.0</v>
      </c>
      <c r="C69" s="279"/>
      <c r="D69" s="24"/>
      <c r="E69" s="253" t="s">
        <v>112</v>
      </c>
      <c r="F69" s="267">
        <v>0.0</v>
      </c>
      <c r="G69" s="80"/>
      <c r="H69" s="151"/>
      <c r="I69" s="151"/>
      <c r="J69" s="151"/>
      <c r="K69" s="151"/>
      <c r="L69" s="263"/>
      <c r="M69" s="151"/>
      <c r="N69" s="151"/>
      <c r="O69" s="151"/>
      <c r="P69" s="151"/>
      <c r="Q69" s="151"/>
      <c r="R69" s="263"/>
      <c r="S69" s="263"/>
      <c r="T69" s="259"/>
      <c r="U69" s="151"/>
      <c r="V69" s="151"/>
      <c r="W69" s="151"/>
      <c r="X69" s="151"/>
      <c r="Y69" s="151"/>
      <c r="Z69" s="151"/>
      <c r="AA69" s="263"/>
      <c r="AB69" s="151"/>
      <c r="AC69" s="151"/>
      <c r="AD69" s="151"/>
      <c r="AE69" s="151"/>
      <c r="AF69" s="151"/>
      <c r="AG69" s="151"/>
      <c r="AH69" s="259"/>
      <c r="AI69" s="60"/>
    </row>
    <row r="70">
      <c r="A70" s="60"/>
      <c r="B70" s="260"/>
      <c r="C70" s="106"/>
      <c r="D70" s="118"/>
      <c r="E70" s="262" t="s">
        <v>114</v>
      </c>
      <c r="F70" s="267">
        <v>0.0</v>
      </c>
      <c r="G70" s="80"/>
      <c r="H70" s="259"/>
      <c r="I70" s="151"/>
      <c r="J70" s="151"/>
      <c r="K70" s="151"/>
      <c r="L70" s="263"/>
      <c r="M70" s="151"/>
      <c r="N70" s="151"/>
      <c r="O70" s="151"/>
      <c r="P70" s="151"/>
      <c r="Q70" s="151"/>
      <c r="R70" s="263"/>
      <c r="S70" s="263"/>
      <c r="T70" s="259"/>
      <c r="U70" s="151"/>
      <c r="V70" s="151"/>
      <c r="W70" s="151"/>
      <c r="X70" s="151"/>
      <c r="Y70" s="151"/>
      <c r="Z70" s="151"/>
      <c r="AA70" s="263"/>
      <c r="AB70" s="151"/>
      <c r="AC70" s="151"/>
      <c r="AD70" s="151"/>
      <c r="AE70" s="151"/>
      <c r="AF70" s="151"/>
      <c r="AG70" s="151"/>
      <c r="AH70" s="259"/>
      <c r="AI70" s="60"/>
    </row>
    <row r="71">
      <c r="A71" s="60"/>
      <c r="B71" s="280" t="s">
        <v>93</v>
      </c>
      <c r="C71" s="67"/>
      <c r="D71" s="67"/>
      <c r="E71" s="67"/>
      <c r="F71" s="236"/>
      <c r="G71" s="80"/>
      <c r="H71" s="281">
        <v>4.0</v>
      </c>
      <c r="I71" s="149">
        <v>2.0</v>
      </c>
      <c r="J71" s="281">
        <v>3.0</v>
      </c>
      <c r="K71" s="149">
        <v>5.0</v>
      </c>
      <c r="L71" s="263"/>
      <c r="M71" s="281">
        <v>5.0</v>
      </c>
      <c r="N71" s="149">
        <v>7.0</v>
      </c>
      <c r="O71" s="149">
        <v>1.0</v>
      </c>
      <c r="P71" s="281">
        <v>0.0</v>
      </c>
      <c r="Q71" s="149">
        <v>1.0</v>
      </c>
      <c r="R71" s="263"/>
      <c r="S71" s="263"/>
      <c r="T71" s="149">
        <v>1.0</v>
      </c>
      <c r="U71" s="281">
        <v>0.0</v>
      </c>
      <c r="V71" s="149">
        <v>8.0</v>
      </c>
      <c r="W71" s="281">
        <v>1.0</v>
      </c>
      <c r="X71" s="149">
        <v>18.0</v>
      </c>
      <c r="Y71" s="281">
        <v>6.0</v>
      </c>
      <c r="Z71" s="281">
        <v>0.0</v>
      </c>
      <c r="AA71" s="263"/>
      <c r="AB71" s="149">
        <v>4.0</v>
      </c>
      <c r="AC71" s="281">
        <v>0.0</v>
      </c>
      <c r="AD71" s="149">
        <v>1.0</v>
      </c>
      <c r="AE71" s="281">
        <v>1.0</v>
      </c>
      <c r="AF71" s="149">
        <v>2.0</v>
      </c>
      <c r="AG71" s="281">
        <v>2.0</v>
      </c>
      <c r="AH71" s="151"/>
      <c r="AI71" s="60"/>
    </row>
    <row r="72">
      <c r="A72" s="60"/>
      <c r="B72" s="105"/>
      <c r="C72" s="106"/>
      <c r="D72" s="106"/>
      <c r="E72" s="106"/>
      <c r="F72" s="245"/>
      <c r="G72" s="242"/>
      <c r="H72" s="282">
        <v>0.0</v>
      </c>
      <c r="I72" s="283">
        <v>3.0</v>
      </c>
      <c r="J72" s="281">
        <v>0.0</v>
      </c>
      <c r="K72" s="283">
        <v>0.0</v>
      </c>
      <c r="L72" s="284"/>
      <c r="M72" s="282">
        <v>1.0</v>
      </c>
      <c r="N72" s="283">
        <v>0.0</v>
      </c>
      <c r="O72" s="283">
        <v>1.0</v>
      </c>
      <c r="P72" s="282">
        <v>1.0</v>
      </c>
      <c r="Q72" s="149">
        <v>0.0</v>
      </c>
      <c r="R72" s="284"/>
      <c r="S72" s="284"/>
      <c r="T72" s="149">
        <v>0.0</v>
      </c>
      <c r="U72" s="282">
        <v>2.0</v>
      </c>
      <c r="V72" s="283">
        <v>0.0</v>
      </c>
      <c r="W72" s="282">
        <v>1.0</v>
      </c>
      <c r="X72" s="283">
        <v>0.0</v>
      </c>
      <c r="Y72" s="282">
        <v>0.0</v>
      </c>
      <c r="Z72" s="282">
        <v>1.0</v>
      </c>
      <c r="AA72" s="284"/>
      <c r="AB72" s="283">
        <v>0.0</v>
      </c>
      <c r="AC72" s="282">
        <v>0.0</v>
      </c>
      <c r="AD72" s="149">
        <v>0.0</v>
      </c>
      <c r="AE72" s="282">
        <v>1.0</v>
      </c>
      <c r="AF72" s="149">
        <v>0.0</v>
      </c>
      <c r="AG72" s="282">
        <v>2.0</v>
      </c>
      <c r="AH72" s="272"/>
      <c r="AI72" s="60"/>
    </row>
  </sheetData>
  <mergeCells count="79">
    <mergeCell ref="B17:B18"/>
    <mergeCell ref="C17:D18"/>
    <mergeCell ref="B19:B20"/>
    <mergeCell ref="C19:D20"/>
    <mergeCell ref="B21:B22"/>
    <mergeCell ref="C21:D22"/>
    <mergeCell ref="B23:B24"/>
    <mergeCell ref="C23:D24"/>
    <mergeCell ref="B25:B26"/>
    <mergeCell ref="C25:D26"/>
    <mergeCell ref="B27:B28"/>
    <mergeCell ref="C27:D28"/>
    <mergeCell ref="B29:B30"/>
    <mergeCell ref="C29:D30"/>
    <mergeCell ref="C37:D38"/>
    <mergeCell ref="C39:D40"/>
    <mergeCell ref="B15:B16"/>
    <mergeCell ref="C15:D16"/>
    <mergeCell ref="B31:B32"/>
    <mergeCell ref="C31:D32"/>
    <mergeCell ref="B33:B34"/>
    <mergeCell ref="C33:D34"/>
    <mergeCell ref="C35:D36"/>
    <mergeCell ref="S13:S72"/>
    <mergeCell ref="AA13:AA72"/>
    <mergeCell ref="C67:D68"/>
    <mergeCell ref="B69:B70"/>
    <mergeCell ref="C69:D70"/>
    <mergeCell ref="B2:AH4"/>
    <mergeCell ref="B5:AH5"/>
    <mergeCell ref="G6:G72"/>
    <mergeCell ref="H6:Q6"/>
    <mergeCell ref="S6:S9"/>
    <mergeCell ref="AF12:AH12"/>
    <mergeCell ref="L13:L72"/>
    <mergeCell ref="B71:F72"/>
    <mergeCell ref="B41:B42"/>
    <mergeCell ref="C41:D42"/>
    <mergeCell ref="B43:B44"/>
    <mergeCell ref="C43:D44"/>
    <mergeCell ref="B45:B46"/>
    <mergeCell ref="C45:D46"/>
    <mergeCell ref="B47:B48"/>
    <mergeCell ref="C47:D48"/>
    <mergeCell ref="B49:B50"/>
    <mergeCell ref="C49:D50"/>
    <mergeCell ref="B51:B52"/>
    <mergeCell ref="C51:D52"/>
    <mergeCell ref="B53:B54"/>
    <mergeCell ref="C53:D54"/>
    <mergeCell ref="B35:B36"/>
    <mergeCell ref="B37:B38"/>
    <mergeCell ref="B39:B40"/>
    <mergeCell ref="B55:B56"/>
    <mergeCell ref="C55:D56"/>
    <mergeCell ref="B57:B58"/>
    <mergeCell ref="C57:D58"/>
    <mergeCell ref="B59:B60"/>
    <mergeCell ref="C59:D60"/>
    <mergeCell ref="B61:B62"/>
    <mergeCell ref="C61:D62"/>
    <mergeCell ref="B63:B64"/>
    <mergeCell ref="C63:D64"/>
    <mergeCell ref="C65:D66"/>
    <mergeCell ref="T6:AC6"/>
    <mergeCell ref="AD6:AH6"/>
    <mergeCell ref="H12:J12"/>
    <mergeCell ref="K12:N12"/>
    <mergeCell ref="O12:S12"/>
    <mergeCell ref="T12:W12"/>
    <mergeCell ref="X12:AA12"/>
    <mergeCell ref="AB12:AE12"/>
    <mergeCell ref="B6:F12"/>
    <mergeCell ref="B13:B14"/>
    <mergeCell ref="C13:D14"/>
    <mergeCell ref="R6:R9"/>
    <mergeCell ref="R13:R72"/>
    <mergeCell ref="B65:B66"/>
    <mergeCell ref="B67:B6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2012-09-20T18:41:14Z</dcterms:created>
  <dc:creator>tulay</dc:creator>
</cp:coreProperties>
</file>